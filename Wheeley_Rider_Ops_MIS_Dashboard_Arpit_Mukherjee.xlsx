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E:\Arpit works\WHEELEY_Operations_Intelligence_Tracker_Project\"/>
    </mc:Choice>
  </mc:AlternateContent>
  <xr:revisionPtr revIDLastSave="0" documentId="13_ncr:1_{800D559B-9580-4D34-9BD1-D04E2F85D8DE}" xr6:coauthVersionLast="47" xr6:coauthVersionMax="47" xr10:uidLastSave="{00000000-0000-0000-0000-000000000000}"/>
  <workbookProtection workbookAlgorithmName="SHA-512" workbookHashValue="HaYSQB4VK2bmkVOxzXoTIc/xJlSegUd6d0mhHaK2K7su5QaQ4cioz03cP7w7AaBn5QWHwjs7WmO2HkpSFmdALQ==" workbookSaltValue="y883lBF2394c1l6ks2l8lA==" workbookSpinCount="100000" lockStructure="1"/>
  <bookViews>
    <workbookView xWindow="-103" yWindow="-103" windowWidth="33120" windowHeight="18720" xr2:uid="{6B643B5E-8C42-4D6B-9410-8642BE759E83}"/>
  </bookViews>
  <sheets>
    <sheet name="Raw_Data" sheetId="5" r:id="rId1"/>
    <sheet name="MIS_Summary" sheetId="6" r:id="rId2"/>
    <sheet name="Dashboard" sheetId="3" r:id="rId3"/>
    <sheet name="AI_Insights" sheetId="4" r:id="rId4"/>
    <sheet name="Weekly_MIS_Reports" sheetId="10" r:id="rId5"/>
  </sheets>
  <definedNames>
    <definedName name="_xlcn.WorksheetConnection_Wheeley_Rider_Ops_MIS_Dashboard_Arpit_Mukherjee.xlsxTable1" hidden="1">Table1[]</definedName>
    <definedName name="_xlcn.WorksheetConnection_Wheeley_Rider_Ops_MIS_Dashboard_Arpit_Mukherjee.xlsxTable2" hidden="1">Table2[]</definedName>
    <definedName name="Slicer_Zon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Wheeley_Rider_Ops_MIS_Dashboard_Arpit_Mukherjee.xlsx!Table2"/>
          <x15:modelTable id="Table1" name="Table1" connection="WorksheetConnection_Wheeley_Rider_Ops_MIS_Dashboard_Arpit_Mukherje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2" i="5"/>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2"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2" i="6"/>
  <c r="M3" i="6" a="1"/>
  <c r="M3" i="6" s="1"/>
  <c r="M4" i="6" a="1"/>
  <c r="M4" i="6" s="1"/>
  <c r="M5" i="6" a="1"/>
  <c r="M5" i="6" s="1"/>
  <c r="M6" i="6" a="1"/>
  <c r="M6" i="6" s="1"/>
  <c r="M7" i="6" a="1"/>
  <c r="M7" i="6" s="1"/>
  <c r="S7" i="6" s="1"/>
  <c r="M8" i="6" a="1"/>
  <c r="M8" i="6" s="1"/>
  <c r="M9" i="6" a="1"/>
  <c r="M9" i="6" s="1"/>
  <c r="S9" i="6" s="1"/>
  <c r="M10" i="6" a="1"/>
  <c r="M10" i="6" s="1"/>
  <c r="S10" i="6" s="1"/>
  <c r="M11" i="6" a="1"/>
  <c r="M11" i="6" s="1"/>
  <c r="S11" i="6" s="1"/>
  <c r="M12" i="6" a="1"/>
  <c r="M12" i="6" s="1"/>
  <c r="M13" i="6" a="1"/>
  <c r="M13" i="6" s="1"/>
  <c r="S13" i="6" s="1"/>
  <c r="M14" i="6" a="1"/>
  <c r="M14" i="6" s="1"/>
  <c r="M15" i="6" a="1"/>
  <c r="M15" i="6" s="1"/>
  <c r="S15" i="6" s="1"/>
  <c r="M16" i="6" a="1"/>
  <c r="M16" i="6" s="1"/>
  <c r="S16" i="6" s="1"/>
  <c r="M17" i="6" a="1"/>
  <c r="M17" i="6" s="1"/>
  <c r="S17" i="6" s="1"/>
  <c r="M18" i="6" a="1"/>
  <c r="M18" i="6" s="1"/>
  <c r="S18" i="6" s="1"/>
  <c r="M19" i="6" a="1"/>
  <c r="M19" i="6" s="1"/>
  <c r="S19" i="6" s="1"/>
  <c r="M20" i="6" a="1"/>
  <c r="M20" i="6" s="1"/>
  <c r="S20" i="6" s="1"/>
  <c r="M21" i="6" a="1"/>
  <c r="M21" i="6" s="1"/>
  <c r="S21" i="6" s="1"/>
  <c r="M22" i="6" a="1"/>
  <c r="M22" i="6" s="1"/>
  <c r="S22" i="6" s="1"/>
  <c r="M23" i="6" a="1"/>
  <c r="M23" i="6" s="1"/>
  <c r="S23" i="6" s="1"/>
  <c r="M24" i="6" a="1"/>
  <c r="M24" i="6" s="1"/>
  <c r="S24" i="6" s="1"/>
  <c r="M25" i="6" a="1"/>
  <c r="M25" i="6" s="1"/>
  <c r="S25" i="6" s="1"/>
  <c r="M26" i="6" a="1"/>
  <c r="M26" i="6" s="1"/>
  <c r="S26" i="6" s="1"/>
  <c r="M27" i="6" a="1"/>
  <c r="M27" i="6" s="1"/>
  <c r="S27" i="6" s="1"/>
  <c r="M28" i="6" a="1"/>
  <c r="M28" i="6" s="1"/>
  <c r="S28" i="6" s="1"/>
  <c r="M29" i="6" a="1"/>
  <c r="M29" i="6" s="1"/>
  <c r="S29" i="6" s="1"/>
  <c r="M30" i="6" a="1"/>
  <c r="M30" i="6" s="1"/>
  <c r="S30" i="6" s="1"/>
  <c r="M31" i="6" a="1"/>
  <c r="M31" i="6" s="1"/>
  <c r="M32" i="6" a="1"/>
  <c r="M32" i="6" s="1"/>
  <c r="M33" i="6" a="1"/>
  <c r="M33" i="6" s="1"/>
  <c r="M34" i="6" a="1"/>
  <c r="M34" i="6" s="1"/>
  <c r="M35" i="6" a="1"/>
  <c r="M35" i="6" s="1"/>
  <c r="M36" i="6" a="1"/>
  <c r="M36" i="6" s="1"/>
  <c r="M37" i="6" a="1"/>
  <c r="M37" i="6" s="1"/>
  <c r="S37" i="6" s="1"/>
  <c r="M38" i="6" a="1"/>
  <c r="M38" i="6" s="1"/>
  <c r="S38" i="6" s="1"/>
  <c r="M39" i="6" a="1"/>
  <c r="M39" i="6" s="1"/>
  <c r="S39" i="6" s="1"/>
  <c r="M40" i="6" a="1"/>
  <c r="M40" i="6" s="1"/>
  <c r="M41" i="6" a="1"/>
  <c r="M41" i="6" s="1"/>
  <c r="S41" i="6" s="1"/>
  <c r="M42" i="6" a="1"/>
  <c r="M42" i="6" s="1"/>
  <c r="M43" i="6" a="1"/>
  <c r="M43" i="6" s="1"/>
  <c r="S43" i="6" s="1"/>
  <c r="M44" i="6" a="1"/>
  <c r="M44" i="6" s="1"/>
  <c r="S44" i="6" s="1"/>
  <c r="M45" i="6" a="1"/>
  <c r="M45" i="6" s="1"/>
  <c r="S45" i="6" s="1"/>
  <c r="M46" i="6" a="1"/>
  <c r="M46" i="6" s="1"/>
  <c r="S46" i="6" s="1"/>
  <c r="M47" i="6" a="1"/>
  <c r="M47" i="6" s="1"/>
  <c r="S47" i="6" s="1"/>
  <c r="M48" i="6" a="1"/>
  <c r="M48" i="6" s="1"/>
  <c r="S48" i="6" s="1"/>
  <c r="M49" i="6" a="1"/>
  <c r="M49" i="6" s="1"/>
  <c r="S49" i="6" s="1"/>
  <c r="M50" i="6" a="1"/>
  <c r="M50" i="6" s="1"/>
  <c r="S50" i="6" s="1"/>
  <c r="M51" i="6" a="1"/>
  <c r="M51" i="6" s="1"/>
  <c r="S51" i="6" s="1"/>
  <c r="M52" i="6" a="1"/>
  <c r="M52" i="6" s="1"/>
  <c r="S52" i="6" s="1"/>
  <c r="M53" i="6" a="1"/>
  <c r="M53" i="6" s="1"/>
  <c r="S53" i="6" s="1"/>
  <c r="M54" i="6" a="1"/>
  <c r="M54" i="6" s="1"/>
  <c r="S54" i="6" s="1"/>
  <c r="M55" i="6" a="1"/>
  <c r="M55" i="6" s="1"/>
  <c r="S55" i="6" s="1"/>
  <c r="M56" i="6" a="1"/>
  <c r="M56" i="6" s="1"/>
  <c r="S56" i="6" s="1"/>
  <c r="M57" i="6" a="1"/>
  <c r="M57" i="6" s="1"/>
  <c r="S57" i="6" s="1"/>
  <c r="M58" i="6" a="1"/>
  <c r="M58" i="6" s="1"/>
  <c r="S58" i="6" s="1"/>
  <c r="M59" i="6" a="1"/>
  <c r="M59" i="6" s="1"/>
  <c r="M60" i="6" a="1"/>
  <c r="M60" i="6" s="1"/>
  <c r="M61" i="6" a="1"/>
  <c r="M61" i="6" s="1"/>
  <c r="M2" i="6" a="1"/>
  <c r="M2" i="6" s="1"/>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3" i="6"/>
  <c r="L4" i="6"/>
  <c r="L5" i="6"/>
  <c r="L2" i="6"/>
  <c r="Q60" i="6" l="1"/>
  <c r="Q32" i="6"/>
  <c r="Q4" i="6"/>
  <c r="Q2" i="6"/>
  <c r="Q34" i="6"/>
  <c r="Q6" i="6"/>
  <c r="Q40" i="6"/>
  <c r="Q12" i="6"/>
  <c r="Q36" i="6"/>
  <c r="Q8" i="6"/>
  <c r="Q61" i="6"/>
  <c r="Q33" i="6"/>
  <c r="Q5" i="6"/>
  <c r="Q59" i="6"/>
  <c r="Q31" i="6"/>
  <c r="Q3" i="6"/>
  <c r="Q35" i="6"/>
  <c r="Q42" i="6"/>
  <c r="Q14" i="6"/>
  <c r="S42" i="6"/>
  <c r="S14" i="6"/>
  <c r="S40" i="6"/>
  <c r="S12" i="6"/>
  <c r="S36" i="6"/>
  <c r="S8" i="6"/>
  <c r="S35" i="6"/>
  <c r="S34" i="6"/>
  <c r="S6" i="6"/>
  <c r="S61" i="6"/>
  <c r="S33" i="6"/>
  <c r="S5" i="6"/>
  <c r="S60" i="6"/>
  <c r="S32" i="6"/>
  <c r="S4" i="6"/>
  <c r="S59" i="6"/>
  <c r="S31" i="6"/>
  <c r="S3" i="6"/>
  <c r="S2" i="6"/>
  <c r="Q50" i="6"/>
  <c r="Q39" i="6"/>
  <c r="Q11" i="6"/>
  <c r="Q38" i="6"/>
  <c r="Q10" i="6"/>
  <c r="Q37" i="6"/>
  <c r="Q15" i="6"/>
  <c r="Q56" i="6"/>
  <c r="Q28" i="6"/>
  <c r="Q51" i="6"/>
  <c r="Q26" i="6"/>
  <c r="Q20" i="6"/>
  <c r="Q46" i="6"/>
  <c r="Q48" i="6"/>
  <c r="Q22" i="6"/>
  <c r="Q45" i="6"/>
  <c r="Q49" i="6"/>
  <c r="Q23" i="6"/>
  <c r="Q47" i="6"/>
  <c r="Q21" i="6"/>
  <c r="Q54" i="6"/>
  <c r="Q19" i="6"/>
  <c r="Q17" i="6"/>
  <c r="Q41" i="6"/>
  <c r="Q30" i="6"/>
  <c r="Q29" i="6"/>
  <c r="Q52" i="6"/>
  <c r="Q25" i="6"/>
  <c r="Q24" i="6"/>
  <c r="Q58" i="6"/>
  <c r="Q57" i="6"/>
  <c r="Q27" i="6"/>
  <c r="Q44" i="6"/>
  <c r="Q43" i="6"/>
  <c r="Q16" i="6"/>
  <c r="Q18" i="6"/>
  <c r="Q55" i="6"/>
  <c r="Q9" i="6"/>
  <c r="Q13" i="6"/>
  <c r="Q53" i="6"/>
  <c r="Q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32A352-26AE-4755-9B5C-9F9324B7D49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FD88CE96-C779-4E36-85A4-2F02AE574400}" name="WorksheetConnection_Wheeley_Rider_Ops_MIS_Dashboard_Arpit_Mukherjee.xlsx!Table1" type="102" refreshedVersion="8" minRefreshableVersion="5">
    <extLst>
      <ext xmlns:x15="http://schemas.microsoft.com/office/spreadsheetml/2010/11/main" uri="{DE250136-89BD-433C-8126-D09CA5730AF9}">
        <x15:connection id="Table1">
          <x15:rangePr sourceName="_xlcn.WorksheetConnection_Wheeley_Rider_Ops_MIS_Dashboard_Arpit_Mukherjee.xlsxTable1"/>
        </x15:connection>
      </ext>
    </extLst>
  </connection>
  <connection id="3" xr16:uid="{A31D2CD2-3AE2-4DC3-BD7E-894E0C0B2016}" name="WorksheetConnection_Wheeley_Rider_Ops_MIS_Dashboard_Arpit_Mukherjee.xlsx!Table2" type="102" refreshedVersion="8" minRefreshableVersion="5">
    <extLst>
      <ext xmlns:x15="http://schemas.microsoft.com/office/spreadsheetml/2010/11/main" uri="{DE250136-89BD-433C-8126-D09CA5730AF9}">
        <x15:connection id="Table2">
          <x15:rangePr sourceName="_xlcn.WorksheetConnection_Wheeley_Rider_Ops_MIS_Dashboard_Arpit_Mukherjee.xlsxTable2"/>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<sst xmlns="http://schemas.openxmlformats.org/spreadsheetml/2006/main" count="692" uniqueCount="90">
  <si>
    <t>Rider_ID</t>
  </si>
  <si>
    <t>Rider_Name</t>
  </si>
  <si>
    <t>Date</t>
  </si>
  <si>
    <t>Trips_Completed</t>
  </si>
  <si>
    <t>Earnings_Per_Trip</t>
  </si>
  <si>
    <t>Bonus_Eligible (Y/N)</t>
  </si>
  <si>
    <t>Deductions</t>
  </si>
  <si>
    <t>Attendance(Present/Absent)</t>
  </si>
  <si>
    <t>Zone</t>
  </si>
  <si>
    <t>RID001</t>
  </si>
  <si>
    <t>Aman Kumar</t>
  </si>
  <si>
    <t>Y</t>
  </si>
  <si>
    <t>Present</t>
  </si>
  <si>
    <t>Rohini</t>
  </si>
  <si>
    <t>RID002</t>
  </si>
  <si>
    <t>Rohit Sharma</t>
  </si>
  <si>
    <t>N</t>
  </si>
  <si>
    <t>RID003</t>
  </si>
  <si>
    <t>Vikas Yadav</t>
  </si>
  <si>
    <t>Punjabi Bagh</t>
  </si>
  <si>
    <t>RID004</t>
  </si>
  <si>
    <t>Deepak Singh</t>
  </si>
  <si>
    <t>Dwarka</t>
  </si>
  <si>
    <t>RID005</t>
  </si>
  <si>
    <t>Saurabh Gupta</t>
  </si>
  <si>
    <t>Janakpuri</t>
  </si>
  <si>
    <t>RID006</t>
  </si>
  <si>
    <t>Ankit Verma</t>
  </si>
  <si>
    <t>RID007</t>
  </si>
  <si>
    <t>Mohit Kumar</t>
  </si>
  <si>
    <t>RID008</t>
  </si>
  <si>
    <t>Rahul Jain</t>
  </si>
  <si>
    <t>RID009</t>
  </si>
  <si>
    <t>Nitin Chaudhary</t>
  </si>
  <si>
    <t>Pitampura</t>
  </si>
  <si>
    <t>RID010</t>
  </si>
  <si>
    <t>Pankaj Malik</t>
  </si>
  <si>
    <t>Absent</t>
  </si>
  <si>
    <t>Karol Bagh</t>
  </si>
  <si>
    <t>Bonus_Count</t>
  </si>
  <si>
    <t>Attendance_Rate</t>
  </si>
  <si>
    <t>Deduction_Total</t>
  </si>
  <si>
    <t>Net_Payout</t>
  </si>
  <si>
    <t>Total_Earnings</t>
  </si>
  <si>
    <t>Total_Trips</t>
  </si>
  <si>
    <t>Rider's_ID</t>
  </si>
  <si>
    <t>Rider's_Name</t>
  </si>
  <si>
    <t>Avg_Trips_Per_Working_Day</t>
  </si>
  <si>
    <t>Avg_Earnings_Per_Day</t>
  </si>
  <si>
    <t>Higher_Trips_Per_Day</t>
  </si>
  <si>
    <t>Bonus_Eligibility %</t>
  </si>
  <si>
    <t>Zone_Lookup</t>
  </si>
  <si>
    <t>Total Net Payout</t>
  </si>
  <si>
    <t>Avg Trips Per Rider</t>
  </si>
  <si>
    <t>Bonuses Given</t>
  </si>
  <si>
    <t>Week</t>
  </si>
  <si>
    <t>Week 1</t>
  </si>
  <si>
    <t>Week 2</t>
  </si>
  <si>
    <t>Week 3</t>
  </si>
  <si>
    <t>Week 4</t>
  </si>
  <si>
    <t>Week 5</t>
  </si>
  <si>
    <t>Grand Total</t>
  </si>
  <si>
    <t>Trips</t>
  </si>
  <si>
    <t>Attendance Rate</t>
  </si>
  <si>
    <t xml:space="preserve">Earnings </t>
  </si>
  <si>
    <t>Weekly Performance Pivot</t>
  </si>
  <si>
    <r>
      <rPr>
        <b/>
        <sz val="28"/>
        <color theme="1"/>
        <rFont val="Calibri"/>
        <family val="2"/>
        <scheme val="minor"/>
      </rPr>
      <t>Delhi Rider Operations Dashboard</t>
    </r>
    <r>
      <rPr>
        <b/>
        <sz val="26"/>
        <color theme="1"/>
        <rFont val="Calibri"/>
        <family val="2"/>
        <scheme val="minor"/>
      </rPr>
      <t xml:space="preserve">
</t>
    </r>
    <r>
      <rPr>
        <b/>
        <sz val="22"/>
        <color theme="1"/>
        <rFont val="Calibri"/>
        <family val="2"/>
        <scheme val="minor"/>
      </rPr>
      <t xml:space="preserve">Performance Overview |Last 4 Weeks </t>
    </r>
    <r>
      <rPr>
        <b/>
        <sz val="26"/>
        <color theme="1"/>
        <rFont val="Calibri"/>
        <family val="2"/>
        <scheme val="minor"/>
      </rPr>
      <t xml:space="preserve">                </t>
    </r>
  </si>
  <si>
    <t>Formula Used</t>
  </si>
  <si>
    <t>Formula Screenshot</t>
  </si>
  <si>
    <t>Formula Explanation</t>
  </si>
  <si>
    <t>Total Trips by Rider</t>
  </si>
  <si>
    <t>=SUMIF(Raw_Data!A:A,A2,Raw_Data!D:D)</t>
  </si>
  <si>
    <t>This formula calculates the total number of trips completed by a specific rider. It searches for the Rider ID in the Raw_Data sheet and adds together all the trip counts associated with that rider. This helps measure each rider's overall productivity during the reporting period.</t>
  </si>
  <si>
    <t>Total Earnings</t>
  </si>
  <si>
    <t>Bonus Count</t>
  </si>
  <si>
    <t>Rider Name Lookup</t>
  </si>
  <si>
    <t>Deduction Total</t>
  </si>
  <si>
    <t>Net Payout</t>
  </si>
  <si>
    <t>=SUMPRODUCT((Raw_Data!A$2:A$61=A2)*(Raw_Data!D$2:D$61)*(Raw_Data!E$2:E$61))</t>
  </si>
  <si>
    <t>This formula calculates the rider's total earnings by multiplying the number of trips completed by the earnings per trip for every matching record and then summing the results. It provides the rider's total gross earnings before deductions.</t>
  </si>
  <si>
    <t>=COUNTIFS(Raw_Data!A:A,A2,Raw_Data!F:F,"Y")</t>
  </si>
  <si>
    <t>This formula counts how many times a rider qualified for a performance bonus. It checks every record for the selected rider and counts only those where Bonus Eligible is marked as "Y".</t>
  </si>
  <si>
    <t>=COUNTIFS(Raw_Data!A:A,A2,Raw_Data!H:H,"Present")/COUNTIF(Raw_Data!A:A,A2)</t>
  </si>
  <si>
    <t>This formula calculates the percentage of days a rider was present. It divides the number of days marked "Present" by the total number of recorded working days for that rider. This KPI helps evaluate reliability and consistency.</t>
  </si>
  <si>
    <t>=XLOOKUP(A2,Raw_Data!A:A,Raw_Data!B:B)</t>
  </si>
  <si>
    <t>This formula retrieves the rider's name based on the Rider ID entered in the MIS sheet. It ensures that rider information is displayed automatically without manual entry.</t>
  </si>
  <si>
    <t>=SUMIF(Raw_Data!A:A,A2,Raw_Data!G:G)</t>
  </si>
  <si>
    <t>This formula adds together all deductions applied to a rider during the reporting period, including penalties or operational deductions. It is used to determine the rider's final payout.</t>
  </si>
  <si>
    <t>=Total Earnings-Deduction Total</t>
  </si>
  <si>
    <t>This formula calculates the rider's final payout after subtracting all deductions from total earnings. It represents the amount payable to the rider.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</si>
</sst>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_ ;\-#,##0.00\ "/>
    <numFmt numFmtId="166" formatCode="0.0%;\-0.0%;0.0%"/>
    <numFmt numFmtId="167" formatCode="0.0"/>
  </numFmts>
  <fonts count="14" x14ac:knownFonts="1">
    <font>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
      <sz val="14"/>
      <color theme="1"/>
      <name val="Calibri"/>
      <family val="2"/>
      <scheme val="minor"/>
    </font>
    <font>
      <b/>
      <sz val="26"/>
      <color theme="1"/>
      <name val="Calibri"/>
      <family val="2"/>
      <scheme val="minor"/>
    </font>
    <font>
      <b/>
      <sz val="20"/>
      <color theme="1"/>
      <name val="Calibri"/>
      <family val="2"/>
      <scheme val="minor"/>
    </font>
    <font>
      <b/>
      <sz val="11"/>
      <color theme="1"/>
      <name val="Calibri"/>
      <family val="2"/>
      <scheme val="minor"/>
    </font>
    <font>
      <b/>
      <sz val="22"/>
      <color theme="1"/>
      <name val="Calibri"/>
      <family val="2"/>
      <scheme val="minor"/>
    </font>
    <font>
      <b/>
      <sz val="14"/>
      <color theme="1"/>
      <name val="Calibri"/>
      <family val="2"/>
      <scheme val="minor"/>
    </font>
    <font>
      <b/>
      <sz val="16"/>
      <color theme="1"/>
      <name val="Calibri"/>
      <family val="2"/>
      <scheme val="minor"/>
    </font>
    <font>
      <sz val="16"/>
      <color theme="0"/>
      <name val="Calibri"/>
      <family val="2"/>
      <scheme val="minor"/>
    </font>
    <font>
      <b/>
      <sz val="20"/>
      <color theme="0"/>
      <name val="Calibri"/>
      <family val="2"/>
      <scheme val="minor"/>
    </font>
    <font>
      <b/>
      <sz val="28"/>
      <color theme="1"/>
      <name val="Calibri"/>
      <family val="2"/>
      <scheme val="minor"/>
    </font>
  </fonts>
  <fills count="8">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4"/>
        <bgColor theme="4"/>
      </patternFill>
    </fill>
    <fill>
      <patternFill patternType="solid">
        <fgColor theme="4" tint="0.79998168889431442"/>
        <bgColor theme="4" tint="0.79998168889431442"/>
      </patternFill>
    </fill>
    <fill>
      <patternFill patternType="solid">
        <fgColor rgb="FF00008B"/>
        <bgColor indexed="64"/>
      </patternFill>
    </fill>
    <fill>
      <patternFill patternType="solid">
        <fgColor theme="0" tint="-4.9989318521683403E-2"/>
        <bgColor indexed="64"/>
      </patternFill>
    </fill>
  </fills>
  <borders count="45">
    <border>
      <left/>
      <right/>
      <top/>
      <bottom/>
      <diagonal/>
    </border>
    <border>
      <left style="thin">
        <color theme="1"/>
      </left>
      <right/>
      <top style="medium">
        <color theme="1"/>
      </top>
      <bottom/>
      <diagonal/>
    </border>
    <border>
      <left style="thin">
        <color theme="1"/>
      </left>
      <right/>
      <top style="thin">
        <color theme="1"/>
      </top>
      <bottom/>
      <diagonal/>
    </border>
    <border>
      <left style="thin">
        <color theme="1"/>
      </left>
      <right/>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4" tint="0.39997558519241921"/>
      </bottom>
      <diagonal/>
    </border>
    <border>
      <left style="thin">
        <color theme="1"/>
      </left>
      <right style="thin">
        <color theme="4" tint="0.39997558519241921"/>
      </right>
      <top style="thin">
        <color theme="1"/>
      </top>
      <bottom style="thin">
        <color theme="4" tint="0.39997558519241921"/>
      </bottom>
      <diagonal/>
    </border>
    <border>
      <left/>
      <right/>
      <top style="thin">
        <color theme="4" tint="0.39997558519241921"/>
      </top>
      <bottom style="thin">
        <color theme="4" tint="0.39997558519241921"/>
      </bottom>
      <diagonal/>
    </border>
    <border>
      <left style="thin">
        <color theme="1"/>
      </left>
      <right/>
      <top style="thin">
        <color theme="1"/>
      </top>
      <bottom style="thin">
        <color indexed="64"/>
      </bottom>
      <diagonal/>
    </border>
    <border>
      <left/>
      <right/>
      <top style="thin">
        <color theme="4" tint="0.39997558519241921"/>
      </top>
      <bottom/>
      <diagonal/>
    </border>
    <border>
      <left style="thin">
        <color theme="1"/>
      </left>
      <right/>
      <top style="thin">
        <color theme="4" tint="0.39997558519241921"/>
      </top>
      <bottom/>
      <diagonal/>
    </border>
    <border>
      <left style="thin">
        <color theme="1"/>
      </left>
      <right style="thin">
        <color theme="4" tint="0.39997558519241921"/>
      </right>
      <top style="thin">
        <color theme="4" tint="0.39997558519241921"/>
      </top>
      <bottom/>
      <diagonal/>
    </border>
    <border>
      <left style="thin">
        <color theme="1"/>
      </left>
      <right style="thin">
        <color theme="4" tint="0.39997558519241921"/>
      </right>
      <top style="medium">
        <color theme="1"/>
      </top>
      <bottom/>
      <diagonal/>
    </border>
    <border>
      <left style="thin">
        <color theme="1"/>
      </left>
      <right style="thin">
        <color theme="4" tint="0.39997558519241921"/>
      </right>
      <top style="thin">
        <color theme="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right style="thin">
        <color theme="1"/>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theme="0" tint="-4.9989318521683403E-2"/>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bottom style="thin">
        <color theme="0" tint="-4.9989318521683403E-2"/>
      </bottom>
      <diagonal/>
    </border>
    <border>
      <left/>
      <right style="thin">
        <color theme="1"/>
      </right>
      <top/>
      <bottom style="thin">
        <color theme="0" tint="-4.9989318521683403E-2"/>
      </bottom>
      <diagonal/>
    </border>
    <border>
      <left/>
      <right style="thin">
        <color theme="1"/>
      </right>
      <top style="medium">
        <color theme="1"/>
      </top>
      <bottom style="medium">
        <color theme="1"/>
      </bottom>
      <diagonal/>
    </border>
    <border>
      <left/>
      <right style="thin">
        <color theme="1"/>
      </right>
      <top style="medium">
        <color theme="1"/>
      </top>
      <bottom style="thin">
        <color indexed="64"/>
      </bottom>
      <diagonal/>
    </border>
    <border>
      <left/>
      <right style="thin">
        <color theme="1"/>
      </right>
      <top style="thin">
        <color indexed="64"/>
      </top>
      <bottom style="thin">
        <color indexed="64"/>
      </bottom>
      <diagonal/>
    </border>
    <border>
      <left style="medium">
        <color indexed="64"/>
      </left>
      <right/>
      <top style="medium">
        <color indexed="64"/>
      </top>
      <bottom style="thin">
        <color theme="1"/>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thin">
        <color indexed="64"/>
      </right>
      <top style="medium">
        <color theme="1"/>
      </top>
      <bottom style="medium">
        <color theme="1"/>
      </bottom>
      <diagonal/>
    </border>
    <border>
      <left style="thin">
        <color indexed="64"/>
      </left>
      <right style="medium">
        <color indexed="64"/>
      </right>
      <top style="medium">
        <color theme="1"/>
      </top>
      <bottom style="medium">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medium">
        <color theme="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theme="1"/>
      </right>
      <top style="thin">
        <color theme="1"/>
      </top>
      <bottom style="medium">
        <color indexed="64"/>
      </bottom>
      <diagonal/>
    </border>
    <border>
      <left style="thin">
        <color indexed="64"/>
      </left>
      <right style="medium">
        <color indexed="64"/>
      </right>
      <top style="thin">
        <color theme="1"/>
      </top>
      <bottom style="medium">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9">
    <xf numFmtId="0" fontId="0" fillId="0" borderId="0" xfId="0"/>
    <xf numFmtId="49" fontId="0" fillId="0" borderId="0" xfId="0" applyNumberFormat="1"/>
    <xf numFmtId="0" fontId="0" fillId="0" borderId="0" xfId="0" applyAlignment="1">
      <alignment horizontal="center" vertical="center"/>
    </xf>
    <xf numFmtId="164" fontId="0" fillId="3" borderId="1" xfId="1" applyNumberFormat="1" applyFont="1" applyFill="1" applyBorder="1" applyAlignment="1">
      <alignment horizontal="center" vertical="center"/>
    </xf>
    <xf numFmtId="164" fontId="0" fillId="0" borderId="2" xfId="1" applyNumberFormat="1" applyFont="1" applyBorder="1" applyAlignment="1">
      <alignment horizontal="center" vertical="center"/>
    </xf>
    <xf numFmtId="164" fontId="0" fillId="3" borderId="2" xfId="1" applyNumberFormat="1" applyFont="1" applyFill="1" applyBorder="1" applyAlignment="1">
      <alignment horizontal="center" vertical="center"/>
    </xf>
    <xf numFmtId="0" fontId="2" fillId="2" borderId="0" xfId="0" applyFont="1" applyFill="1" applyAlignment="1">
      <alignment horizontal="center" vertical="center"/>
    </xf>
    <xf numFmtId="0" fontId="0" fillId="0" borderId="4" xfId="0" applyBorder="1" applyAlignment="1">
      <alignment horizontal="center" vertical="center"/>
    </xf>
    <xf numFmtId="49" fontId="0" fillId="0" borderId="4" xfId="0" applyNumberFormat="1" applyBorder="1" applyAlignment="1">
      <alignment horizontal="center" vertical="center"/>
    </xf>
    <xf numFmtId="14" fontId="0" fillId="0" borderId="4" xfId="0" applyNumberFormat="1" applyBorder="1" applyAlignment="1">
      <alignment horizontal="center" vertical="center"/>
    </xf>
    <xf numFmtId="0" fontId="2" fillId="4" borderId="9" xfId="0" applyFont="1" applyFill="1" applyBorder="1" applyAlignment="1">
      <alignment horizontal="center" vertical="center"/>
    </xf>
    <xf numFmtId="49" fontId="2" fillId="4" borderId="9" xfId="0" applyNumberFormat="1"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0" fillId="5" borderId="9" xfId="0" applyFill="1" applyBorder="1" applyAlignment="1">
      <alignment horizontal="center" vertical="center"/>
    </xf>
    <xf numFmtId="14" fontId="0" fillId="5" borderId="9" xfId="0" applyNumberFormat="1" applyFill="1" applyBorder="1" applyAlignment="1">
      <alignment horizontal="center" vertical="center"/>
    </xf>
    <xf numFmtId="49" fontId="0" fillId="5" borderId="9" xfId="0" applyNumberFormat="1" applyFill="1" applyBorder="1" applyAlignment="1">
      <alignment horizontal="center" vertical="center"/>
    </xf>
    <xf numFmtId="0" fontId="0" fillId="3" borderId="1" xfId="0" applyFill="1" applyBorder="1" applyAlignment="1">
      <alignment horizontal="center" vertical="center"/>
    </xf>
    <xf numFmtId="0" fontId="0" fillId="3" borderId="12" xfId="0" applyFill="1" applyBorder="1" applyAlignment="1">
      <alignment horizontal="center" vertical="center"/>
    </xf>
    <xf numFmtId="0" fontId="0" fillId="0" borderId="9" xfId="0" applyBorder="1" applyAlignment="1">
      <alignment horizontal="center" vertical="center"/>
    </xf>
    <xf numFmtId="14" fontId="0" fillId="0" borderId="9" xfId="0" applyNumberFormat="1" applyBorder="1" applyAlignment="1">
      <alignment horizontal="center" vertical="center"/>
    </xf>
    <xf numFmtId="49" fontId="0" fillId="0" borderId="9" xfId="0" applyNumberFormat="1"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3" borderId="2" xfId="0" applyFill="1" applyBorder="1" applyAlignment="1">
      <alignment horizontal="center" vertical="center"/>
    </xf>
    <xf numFmtId="0" fontId="0" fillId="3" borderId="13" xfId="0" applyFill="1" applyBorder="1" applyAlignment="1">
      <alignment horizontal="center" vertical="center"/>
    </xf>
    <xf numFmtId="0" fontId="0" fillId="0" borderId="7" xfId="0" applyBorder="1" applyAlignment="1">
      <alignment horizontal="center" vertical="center"/>
    </xf>
    <xf numFmtId="14" fontId="0" fillId="0" borderId="7" xfId="0" applyNumberFormat="1" applyBorder="1" applyAlignment="1">
      <alignment horizontal="center" vertical="center"/>
    </xf>
    <xf numFmtId="49" fontId="0" fillId="0" borderId="7"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2" borderId="1" xfId="0" applyFont="1" applyFill="1" applyBorder="1" applyAlignment="1">
      <alignment horizontal="center" vertical="center"/>
    </xf>
    <xf numFmtId="0" fontId="0" fillId="0" borderId="8" xfId="0" applyBorder="1" applyAlignment="1">
      <alignment horizontal="center" vertical="center"/>
    </xf>
    <xf numFmtId="164" fontId="0" fillId="0" borderId="8" xfId="1" applyNumberFormat="1" applyFont="1" applyBorder="1" applyAlignment="1">
      <alignment horizontal="center" vertical="center"/>
    </xf>
    <xf numFmtId="2" fontId="0" fillId="0" borderId="3" xfId="0" applyNumberFormat="1" applyBorder="1" applyAlignment="1">
      <alignment horizontal="center" vertical="center"/>
    </xf>
    <xf numFmtId="2" fontId="0" fillId="0" borderId="0" xfId="0" applyNumberFormat="1" applyAlignment="1">
      <alignment horizontal="center" vertical="center"/>
    </xf>
    <xf numFmtId="164" fontId="0" fillId="0" borderId="0" xfId="1" applyNumberFormat="1" applyFont="1" applyAlignment="1">
      <alignment horizontal="center" vertical="center"/>
    </xf>
    <xf numFmtId="0" fontId="5" fillId="0" borderId="0" xfId="0" applyFont="1" applyAlignment="1">
      <alignment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20" xfId="0" applyBorder="1"/>
    <xf numFmtId="0" fontId="0" fillId="0" borderId="21" xfId="0" applyBorder="1" applyAlignment="1">
      <alignment horizontal="center" vertical="center"/>
    </xf>
    <xf numFmtId="0" fontId="3" fillId="0" borderId="18" xfId="0" applyFont="1" applyBorder="1" applyAlignment="1">
      <alignment horizontal="center" vertical="center"/>
    </xf>
    <xf numFmtId="0" fontId="3" fillId="0" borderId="15" xfId="0" applyFont="1" applyBorder="1" applyAlignment="1">
      <alignment horizontal="center" vertical="center"/>
    </xf>
    <xf numFmtId="49" fontId="3" fillId="0" borderId="15" xfId="0" applyNumberFormat="1" applyFont="1" applyBorder="1" applyAlignment="1">
      <alignment horizontal="center" vertical="center"/>
    </xf>
    <xf numFmtId="0" fontId="3" fillId="0" borderId="22" xfId="0" applyFont="1" applyBorder="1" applyAlignment="1">
      <alignment horizontal="center" vertical="center"/>
    </xf>
    <xf numFmtId="0" fontId="0" fillId="0" borderId="17" xfId="0" applyBorder="1" applyAlignment="1">
      <alignment horizontal="center" vertical="center"/>
    </xf>
    <xf numFmtId="14" fontId="0" fillId="0" borderId="14" xfId="0" applyNumberFormat="1" applyBorder="1" applyAlignment="1">
      <alignment horizontal="center" vertical="center"/>
    </xf>
    <xf numFmtId="49" fontId="0" fillId="0" borderId="14" xfId="0" applyNumberFormat="1" applyBorder="1" applyAlignment="1">
      <alignment horizontal="center" vertical="center"/>
    </xf>
    <xf numFmtId="0" fontId="0" fillId="0" borderId="23" xfId="0" applyBorder="1" applyAlignment="1">
      <alignment horizontal="center" vertical="center"/>
    </xf>
    <xf numFmtId="0" fontId="0" fillId="0" borderId="0" xfId="0" pivotButton="1" applyAlignment="1">
      <alignment horizontal="center" vertical="center"/>
    </xf>
    <xf numFmtId="4" fontId="0" fillId="0" borderId="0" xfId="0" applyNumberFormat="1" applyAlignment="1">
      <alignment horizontal="center" vertical="center"/>
    </xf>
    <xf numFmtId="166" fontId="0" fillId="0" borderId="0" xfId="0" applyNumberFormat="1" applyAlignment="1">
      <alignment horizontal="center" vertical="center"/>
    </xf>
    <xf numFmtId="0" fontId="6" fillId="0" borderId="0" xfId="0" applyFont="1"/>
    <xf numFmtId="3" fontId="0" fillId="0" borderId="0" xfId="0" applyNumberForma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0" borderId="24" xfId="0" applyBorder="1"/>
    <xf numFmtId="0" fontId="0" fillId="0" borderId="3" xfId="0" applyBorder="1"/>
    <xf numFmtId="165" fontId="6" fillId="0" borderId="3" xfId="2" applyNumberFormat="1" applyFont="1" applyBorder="1" applyAlignment="1"/>
    <xf numFmtId="164" fontId="6" fillId="0" borderId="20" xfId="1" applyNumberFormat="1" applyFont="1" applyBorder="1" applyAlignment="1"/>
    <xf numFmtId="0" fontId="4" fillId="0" borderId="3" xfId="0" applyFont="1" applyBorder="1" applyAlignment="1">
      <alignment horizontal="center" vertical="center"/>
    </xf>
    <xf numFmtId="0" fontId="4" fillId="0" borderId="20" xfId="0" applyFont="1" applyBorder="1" applyAlignment="1">
      <alignment vertical="center"/>
    </xf>
    <xf numFmtId="0" fontId="0" fillId="0" borderId="3" xfId="0" applyBorder="1" applyAlignment="1">
      <alignment horizontal="center" vertical="center"/>
    </xf>
    <xf numFmtId="0" fontId="0" fillId="0" borderId="20" xfId="0" applyBorder="1" applyAlignment="1">
      <alignment horizontal="center" vertical="center"/>
    </xf>
    <xf numFmtId="0" fontId="0" fillId="0" borderId="27" xfId="0" applyBorder="1"/>
    <xf numFmtId="0" fontId="0" fillId="0" borderId="28" xfId="0" applyBorder="1"/>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0" fillId="0" borderId="19" xfId="0" applyBorder="1" applyAlignment="1">
      <alignment horizontal="center" vertical="center" wrapText="1"/>
    </xf>
    <xf numFmtId="0" fontId="9" fillId="7" borderId="19" xfId="0" applyFont="1" applyFill="1" applyBorder="1" applyAlignment="1">
      <alignment horizontal="center" vertical="center"/>
    </xf>
    <xf numFmtId="166" fontId="12" fillId="6" borderId="19" xfId="0" applyNumberFormat="1" applyFont="1" applyFill="1" applyBorder="1" applyAlignment="1">
      <alignment horizontal="center" vertical="center"/>
    </xf>
    <xf numFmtId="0" fontId="11" fillId="6" borderId="19" xfId="0" applyFont="1" applyFill="1" applyBorder="1" applyAlignment="1">
      <alignment horizontal="center" vertical="center"/>
    </xf>
    <xf numFmtId="4" fontId="12" fillId="6" borderId="19" xfId="0" applyNumberFormat="1" applyFont="1" applyFill="1" applyBorder="1" applyAlignment="1">
      <alignment horizontal="center" vertical="center"/>
    </xf>
    <xf numFmtId="3" fontId="12" fillId="6" borderId="19" xfId="0" applyNumberFormat="1" applyFont="1" applyFill="1" applyBorder="1" applyAlignment="1">
      <alignment horizontal="center" vertical="center"/>
    </xf>
    <xf numFmtId="167" fontId="12" fillId="6" borderId="19" xfId="0" applyNumberFormat="1" applyFont="1" applyFill="1" applyBorder="1" applyAlignment="1">
      <alignment horizontal="center" vertical="center"/>
    </xf>
    <xf numFmtId="0" fontId="9"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9" fillId="0" borderId="35" xfId="0" pivotButton="1" applyFont="1" applyBorder="1" applyAlignment="1">
      <alignment horizontal="center" vertical="center"/>
    </xf>
    <xf numFmtId="0" fontId="9" fillId="0" borderId="36"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43" xfId="0" applyFont="1" applyBorder="1" applyAlignment="1">
      <alignment horizontal="center" vertical="center"/>
    </xf>
    <xf numFmtId="0" fontId="0" fillId="0" borderId="22" xfId="0" applyBorder="1"/>
    <xf numFmtId="0" fontId="0" fillId="0" borderId="44" xfId="0" applyBorder="1"/>
    <xf numFmtId="0" fontId="0" fillId="0" borderId="18" xfId="0" applyBorder="1"/>
    <xf numFmtId="0" fontId="10" fillId="7" borderId="32" xfId="0" applyFont="1" applyFill="1" applyBorder="1" applyAlignment="1">
      <alignment horizontal="center" vertical="center"/>
    </xf>
    <xf numFmtId="0" fontId="10" fillId="7" borderId="33" xfId="0" applyFont="1" applyFill="1" applyBorder="1" applyAlignment="1">
      <alignment horizontal="center" vertical="center"/>
    </xf>
    <xf numFmtId="0" fontId="10" fillId="7" borderId="34" xfId="0" applyFont="1" applyFill="1" applyBorder="1" applyAlignment="1">
      <alignment horizontal="center" vertical="center"/>
    </xf>
    <xf numFmtId="0" fontId="5" fillId="7" borderId="8" xfId="0" applyFont="1" applyFill="1" applyBorder="1" applyAlignment="1">
      <alignment horizontal="center" vertical="center" wrapText="1"/>
    </xf>
    <xf numFmtId="0" fontId="5" fillId="7" borderId="25" xfId="0" applyFont="1" applyFill="1" applyBorder="1" applyAlignment="1">
      <alignment horizontal="center" vertical="center"/>
    </xf>
    <xf numFmtId="0" fontId="5" fillId="7" borderId="26" xfId="0" applyFont="1" applyFill="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cellXfs>
  <cellStyles count="3">
    <cellStyle name="Comma" xfId="2" builtinId="3"/>
    <cellStyle name="Normal" xfId="0" builtinId="0"/>
    <cellStyle name="Percent" xfId="1" builtinId="5"/>
  </cellStyles>
  <dxfs count="162">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color theme="0"/>
      </font>
    </dxf>
    <dxf>
      <font>
        <color theme="0"/>
      </font>
    </dxf>
    <dxf>
      <font>
        <color theme="0"/>
      </font>
    </dxf>
    <dxf>
      <fill>
        <patternFill patternType="solid">
          <bgColor rgb="FF00008B"/>
        </patternFill>
      </fill>
    </dxf>
    <dxf>
      <fill>
        <patternFill patternType="solid">
          <bgColor rgb="FF00008B"/>
        </patternFill>
      </fill>
    </dxf>
    <dxf>
      <fill>
        <patternFill patternType="solid">
          <bgColor rgb="FF00008B"/>
        </patternFill>
      </fill>
    </dxf>
    <dxf>
      <font>
        <b/>
      </font>
    </dxf>
    <dxf>
      <font>
        <b val="0"/>
      </font>
    </dxf>
    <dxf>
      <font>
        <sz val="16"/>
      </font>
    </dxf>
    <dxf>
      <font>
        <sz val="20"/>
      </font>
    </dxf>
    <dxf>
      <alignment horizontal="center"/>
    </dxf>
    <dxf>
      <alignment horizontal="center"/>
    </dxf>
    <dxf>
      <alignment horizontal="center"/>
    </dxf>
    <dxf>
      <alignment vertical="center"/>
    </dxf>
    <dxf>
      <alignment vertical="center"/>
    </dxf>
    <dxf>
      <alignment vertical="cent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color theme="0"/>
      </font>
    </dxf>
    <dxf>
      <font>
        <color theme="0"/>
      </font>
    </dxf>
    <dxf>
      <font>
        <color theme="0"/>
      </font>
    </dxf>
    <dxf>
      <fill>
        <patternFill patternType="solid">
          <bgColor rgb="FF00008B"/>
        </patternFill>
      </fill>
    </dxf>
    <dxf>
      <fill>
        <patternFill patternType="solid">
          <bgColor rgb="FF00008B"/>
        </patternFill>
      </fill>
    </dxf>
    <dxf>
      <fill>
        <patternFill patternType="solid">
          <bgColor rgb="FF00008B"/>
        </patternFill>
      </fill>
    </dxf>
    <dxf>
      <font>
        <b/>
      </font>
    </dxf>
    <dxf>
      <font>
        <sz val="20"/>
      </font>
    </dxf>
    <dxf>
      <font>
        <sz val="16"/>
      </font>
    </dxf>
    <dxf>
      <alignment horizontal="center"/>
    </dxf>
    <dxf>
      <alignment horizontal="center"/>
    </dxf>
    <dxf>
      <alignment horizontal="center"/>
    </dxf>
    <dxf>
      <alignment vertical="center"/>
    </dxf>
    <dxf>
      <alignment vertical="center"/>
    </dxf>
    <dxf>
      <alignment vertical="cent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color theme="0"/>
      </font>
    </dxf>
    <dxf>
      <font>
        <color theme="0"/>
      </font>
    </dxf>
    <dxf>
      <font>
        <color theme="0"/>
      </font>
    </dxf>
    <dxf>
      <fill>
        <patternFill patternType="solid">
          <bgColor rgb="FF00008B"/>
        </patternFill>
      </fill>
    </dxf>
    <dxf>
      <fill>
        <patternFill patternType="solid">
          <bgColor rgb="FF00008B"/>
        </patternFill>
      </fill>
    </dxf>
    <dxf>
      <fill>
        <patternFill patternType="solid">
          <bgColor rgb="FF00008B"/>
        </patternFill>
      </fill>
    </dxf>
    <dxf>
      <font>
        <b/>
      </font>
    </dxf>
    <dxf>
      <font>
        <sz val="20"/>
      </font>
    </dxf>
    <dxf>
      <font>
        <sz val="16"/>
      </font>
    </dxf>
    <dxf>
      <alignment horizontal="center"/>
    </dxf>
    <dxf>
      <alignment horizontal="center"/>
    </dxf>
    <dxf>
      <alignment horizontal="center"/>
    </dxf>
    <dxf>
      <alignment vertical="center"/>
    </dxf>
    <dxf>
      <alignment vertical="center"/>
    </dxf>
    <dxf>
      <alignment vertical="center"/>
    </dxf>
    <dxf>
      <border>
        <right style="thin">
          <color indexed="64"/>
        </right>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font>
        <sz val="14"/>
      </font>
    </dxf>
    <dxf>
      <font>
        <sz val="14"/>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ont>
        <color theme="0"/>
      </font>
    </dxf>
    <dxf>
      <font>
        <color theme="0"/>
      </font>
    </dxf>
    <dxf>
      <font>
        <color theme="0"/>
      </font>
    </dxf>
    <dxf>
      <fill>
        <patternFill patternType="solid">
          <bgColor rgb="FF00008B"/>
        </patternFill>
      </fill>
    </dxf>
    <dxf>
      <fill>
        <patternFill patternType="solid">
          <bgColor rgb="FF00008B"/>
        </patternFill>
      </fill>
    </dxf>
    <dxf>
      <fill>
        <patternFill patternType="solid">
          <bgColor rgb="FF00008B"/>
        </patternFill>
      </fill>
    </dxf>
    <dxf>
      <font>
        <b/>
      </font>
    </dxf>
    <dxf>
      <font>
        <sz val="20"/>
      </font>
    </dxf>
    <dxf>
      <font>
        <sz val="16"/>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numFmt numFmtId="164" formatCode="0.0%"/>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style="thin">
          <color theme="4" tint="0.39997558519241921"/>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int="0.39997558519241921"/>
        </top>
        <bottom/>
        <vertical/>
        <horizontal/>
      </border>
    </dxf>
    <dxf>
      <border outline="0">
        <right style="thin">
          <color theme="1"/>
        </right>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800080"/>
      <color rgb="FF0000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[Wheeley_Rider_Ops_MIS_Dashboard_Arpit_Mukherjee.xlsx]Dashboard!PivotTable4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Weekly Rider Earnings vs Trips</a:t>
            </a:r>
            <a:r>
              <a:rPr lang="en-IN" sz="1600" b="1" baseline="0">
                <a:solidFill>
                  <a:schemeClr val="tx1"/>
                </a:solidFill>
              </a:rPr>
              <a:t>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Dashboard!$J$24</c:f>
              <c:strCache>
                <c:ptCount val="1"/>
                <c:pt idx="0">
                  <c:v>Trips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Dashboard!$I$25:$I$30</c:f>
              <c:strCache>
                <c:ptCount val="5"/>
                <c:pt idx="0">
                  <c:v>Week 1</c:v>
                </c:pt>
                <c:pt idx="1">
                  <c:v>Week 2</c:v>
                </c:pt>
                <c:pt idx="2">
                  <c:v>Week 3</c:v>
                </c:pt>
                <c:pt idx="3">
                  <c:v>Week 4</c:v>
                </c:pt>
                <c:pt idx="4">
                  <c:v>Week 5</c:v>
                </c:pt>
              </c:strCache>
            </c:strRef>
          </c:cat>
          <c:val>
            <c:numRef>
              <c:f>Dashboard!$J$25:$J$30</c:f>
              <c:numCache>
                <c:formatCode>General</c:formatCode>
                <c:ptCount val="5"/>
                <c:pt idx="0">
                  <c:v>37</c:v>
                </c:pt>
                <c:pt idx="1">
                  <c:v>141</c:v>
                </c:pt>
                <c:pt idx="2">
                  <c:v>57</c:v>
                </c:pt>
                <c:pt idx="3">
                  <c:v>92</c:v>
                </c:pt>
                <c:pt idx="4">
                  <c:v>76</c:v>
                </c:pt>
              </c:numCache>
            </c:numRef>
          </c:val>
          <c:extLst>
            <c:ext xmlns:c16="http://schemas.microsoft.com/office/drawing/2014/chart" uri="{C3380CC4-5D6E-409C-BE32-E72D297353CC}">
              <c16:uniqueId val="{00000000-36D2-489F-9D4A-6804018858E8}"/>
            </c:ext>
          </c:extLst>
        </c:ser>
        <c:ser>
          <c:idx val="1"/>
          <c:order val="1"/>
          <c:tx>
            <c:strRef>
              <c:f>Dashboard!$K$24</c:f>
              <c:strCache>
                <c:ptCount val="1"/>
                <c:pt idx="0">
                  <c:v>Earnings </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Dashboard!$I$25:$I$30</c:f>
              <c:strCache>
                <c:ptCount val="5"/>
                <c:pt idx="0">
                  <c:v>Week 1</c:v>
                </c:pt>
                <c:pt idx="1">
                  <c:v>Week 2</c:v>
                </c:pt>
                <c:pt idx="2">
                  <c:v>Week 3</c:v>
                </c:pt>
                <c:pt idx="3">
                  <c:v>Week 4</c:v>
                </c:pt>
                <c:pt idx="4">
                  <c:v>Week 5</c:v>
                </c:pt>
              </c:strCache>
            </c:strRef>
          </c:cat>
          <c:val>
            <c:numRef>
              <c:f>Dashboard!$K$25:$K$30</c:f>
              <c:numCache>
                <c:formatCode>General</c:formatCode>
                <c:ptCount val="5"/>
                <c:pt idx="0">
                  <c:v>348</c:v>
                </c:pt>
                <c:pt idx="1">
                  <c:v>2253</c:v>
                </c:pt>
                <c:pt idx="2">
                  <c:v>986</c:v>
                </c:pt>
                <c:pt idx="3">
                  <c:v>1302</c:v>
                </c:pt>
                <c:pt idx="4">
                  <c:v>1073</c:v>
                </c:pt>
              </c:numCache>
            </c:numRef>
          </c:val>
          <c:extLst>
            <c:ext xmlns:c16="http://schemas.microsoft.com/office/drawing/2014/chart" uri="{C3380CC4-5D6E-409C-BE32-E72D297353CC}">
              <c16:uniqueId val="{00000001-36D2-489F-9D4A-6804018858E8}"/>
            </c:ext>
          </c:extLst>
        </c:ser>
        <c:dLbls>
          <c:dLblPos val="outEnd"/>
          <c:showLegendKey val="0"/>
          <c:showVal val="1"/>
          <c:showCatName val="0"/>
          <c:showSerName val="0"/>
          <c:showPercent val="0"/>
          <c:showBubbleSize val="0"/>
        </c:dLbls>
        <c:gapWidth val="219"/>
        <c:overlap val="-27"/>
        <c:axId val="318264751"/>
        <c:axId val="2007779151"/>
      </c:barChart>
      <c:catAx>
        <c:axId val="3182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79151"/>
        <c:crosses val="autoZero"/>
        <c:auto val="1"/>
        <c:lblAlgn val="ctr"/>
        <c:lblOffset val="100"/>
        <c:noMultiLvlLbl val="0"/>
      </c:catAx>
      <c:valAx>
        <c:axId val="200777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6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[Wheeley_Rider_Ops_MIS_Dashboard_Arpit_Mukherjee.xlsx]Dashboard!PivotTable9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5 Riders by Net Payout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dLbl>
          <c:idx val="0"/>
          <c:layout>
            <c:manualLayout>
              <c:x val="-6.6914478554436505E-3"/>
              <c:y val="-7.4639352604737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Dashboard!$S$32</c:f>
              <c:strCache>
                <c:ptCount val="1"/>
                <c:pt idx="0">
                  <c:v>Total</c:v>
                </c:pt>
              </c:strCache>
            </c:strRef>
          </c:tx>
          <c:spPr>
            <a:solidFill>
              <a:srgbClr val="800080"/>
            </a:solidFill>
            <a:ln>
              <a:noFill/>
            </a:ln>
            <a:effectLst/>
          </c:spPr>
          <c:invertIfNegative val="0"/>
          <c:dPt>
            <c:idx val="4"/>
            <c:invertIfNegative val="0"/>
            <c:bubble3D val="0"/>
            <c:extLst>
              <c:ext xmlns:c16="http://schemas.microsoft.com/office/drawing/2014/chart" uri="{C3380CC4-5D6E-409C-BE32-E72D297353CC}">
                <c16:uniqueId val="{00000002-5B92-474F-93AA-09A6ABC8531B}"/>
              </c:ext>
            </c:extLst>
          </c:dPt>
          <c:dLbls>
            <c:dLbl>
              <c:idx val="4"/>
              <c:layout>
                <c:manualLayout>
                  <c:x val="-6.6914478554436505E-3"/>
                  <c:y val="-7.46393526047370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92-474F-93AA-09A6ABC853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Dashboard!$R$33:$R$38</c:f>
              <c:strCache>
                <c:ptCount val="5"/>
                <c:pt idx="0">
                  <c:v>Mohit Kumar</c:v>
                </c:pt>
                <c:pt idx="1">
                  <c:v>Nitin Chaudhary</c:v>
                </c:pt>
                <c:pt idx="2">
                  <c:v>Ankit Verma</c:v>
                </c:pt>
                <c:pt idx="3">
                  <c:v>Vikas Yadav</c:v>
                </c:pt>
                <c:pt idx="4">
                  <c:v>Rohit Sharma</c:v>
                </c:pt>
              </c:strCache>
            </c:strRef>
          </c:cat>
          <c:val>
            <c:numRef>
              <c:f>Dashboard!$S$33:$S$38</c:f>
              <c:numCache>
                <c:formatCode>#,##0.00</c:formatCode>
                <c:ptCount val="5"/>
                <c:pt idx="0">
                  <c:v>26471.1</c:v>
                </c:pt>
                <c:pt idx="1">
                  <c:v>27403.68</c:v>
                </c:pt>
                <c:pt idx="2">
                  <c:v>28887.18</c:v>
                </c:pt>
                <c:pt idx="3">
                  <c:v>30876.18</c:v>
                </c:pt>
                <c:pt idx="4">
                  <c:v>31564.799999999999</c:v>
                </c:pt>
              </c:numCache>
            </c:numRef>
          </c:val>
          <c:extLst>
            <c:ext xmlns:c16="http://schemas.microsoft.com/office/drawing/2014/chart" uri="{C3380CC4-5D6E-409C-BE32-E72D297353CC}">
              <c16:uniqueId val="{00000000-5B92-474F-93AA-09A6ABC8531B}"/>
            </c:ext>
          </c:extLst>
        </c:ser>
        <c:dLbls>
          <c:dLblPos val="outEnd"/>
          <c:showLegendKey val="0"/>
          <c:showVal val="1"/>
          <c:showCatName val="0"/>
          <c:showSerName val="0"/>
          <c:showPercent val="0"/>
          <c:showBubbleSize val="0"/>
        </c:dLbls>
        <c:gapWidth val="182"/>
        <c:axId val="1500611631"/>
        <c:axId val="1500613295"/>
      </c:barChart>
      <c:catAx>
        <c:axId val="15006116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13295"/>
        <c:crosses val="autoZero"/>
        <c:auto val="1"/>
        <c:lblAlgn val="ctr"/>
        <c:lblOffset val="100"/>
        <c:noMultiLvlLbl val="0"/>
      </c:catAx>
      <c:valAx>
        <c:axId val="1500613295"/>
        <c:scaling>
          <c:orientation val="minMax"/>
        </c:scaling>
        <c:delete val="1"/>
        <c:axPos val="b"/>
        <c:numFmt formatCode="#,##0.00" sourceLinked="1"/>
        <c:majorTickMark val="out"/>
        <c:minorTickMark val="none"/>
        <c:tickLblPos val="nextTo"/>
        <c:crossAx val="1500611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[Wheeley_Rider_Ops_MIS_Dashboard_Arpit_Mukherjee.xlsx]Dashboard!PivotTable10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Rider Attendance Distribution</a:t>
            </a:r>
          </a:p>
        </c:rich>
      </c:tx>
      <c:layout>
        <c:manualLayout>
          <c:xMode val="edge"/>
          <c:yMode val="edge"/>
          <c:x val="0.20277256454334694"/>
          <c:y val="4.799421774445261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888856805752471"/>
              <c:y val="-6.8597048062377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160453172499479"/>
              <c:y val="-4.5025195590374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22182028180529"/>
              <c:y val="2.3148283070205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0620235519060087"/>
              <c:y val="7.1563184871428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697525509801756"/>
              <c:y val="8.2977425069058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157360213954869"/>
              <c:y val="4.86703642308337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0030572705614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6369009534581"/>
              <c:y val="-6.9084023509591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323988489003234"/>
              <c:y val="-0.10980570626611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6070175723802544E-2"/>
              <c:y val="-0.11103526610113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Dashboard!$Q$31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8AFE-4610-9F33-BB7CCC2B96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AFE-4610-9F33-BB7CCC2B96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AFE-4610-9F33-BB7CCC2B96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8AFE-4610-9F33-BB7CCC2B96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8AFE-4610-9F33-BB7CCC2B96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8AFE-4610-9F33-BB7CCC2B96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AFE-4610-9F33-BB7CCC2B96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8AFE-4610-9F33-BB7CCC2B965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AFE-4610-9F33-BB7CCC2B965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8AFE-4610-9F33-BB7CCC2B965F}"/>
              </c:ext>
            </c:extLst>
          </c:dPt>
          <c:dLbls>
            <c:dLbl>
              <c:idx val="0"/>
              <c:layout>
                <c:manualLayout>
                  <c:x val="8.6070175723802544E-2"/>
                  <c:y val="-0.111035266101131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FE-4610-9F33-BB7CCC2B965F}"/>
                </c:ext>
              </c:extLst>
            </c:dLbl>
            <c:dLbl>
              <c:idx val="1"/>
              <c:layout>
                <c:manualLayout>
                  <c:x val="0.11888856805752471"/>
                  <c:y val="-6.8597048062377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FE-4610-9F33-BB7CCC2B965F}"/>
                </c:ext>
              </c:extLst>
            </c:dLbl>
            <c:dLbl>
              <c:idx val="2"/>
              <c:layout>
                <c:manualLayout>
                  <c:x val="0.12160453172499479"/>
                  <c:y val="-4.502519559037427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FE-4610-9F33-BB7CCC2B965F}"/>
                </c:ext>
              </c:extLst>
            </c:dLbl>
            <c:dLbl>
              <c:idx val="3"/>
              <c:layout>
                <c:manualLayout>
                  <c:x val="0.12722182028180529"/>
                  <c:y val="2.314828307020580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FE-4610-9F33-BB7CCC2B965F}"/>
                </c:ext>
              </c:extLst>
            </c:dLbl>
            <c:dLbl>
              <c:idx val="4"/>
              <c:layout>
                <c:manualLayout>
                  <c:x val="0.20620235519060087"/>
                  <c:y val="7.15631848714285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FE-4610-9F33-BB7CCC2B965F}"/>
                </c:ext>
              </c:extLst>
            </c:dLbl>
            <c:dLbl>
              <c:idx val="5"/>
              <c:layout>
                <c:manualLayout>
                  <c:x val="-0.16697525509801756"/>
                  <c:y val="8.297742506905872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FE-4610-9F33-BB7CCC2B965F}"/>
                </c:ext>
              </c:extLst>
            </c:dLbl>
            <c:dLbl>
              <c:idx val="6"/>
              <c:layout>
                <c:manualLayout>
                  <c:x val="-0.12157360213954869"/>
                  <c:y val="4.867036423083376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FE-4610-9F33-BB7CCC2B965F}"/>
                </c:ext>
              </c:extLst>
            </c:dLbl>
            <c:dLbl>
              <c:idx val="7"/>
              <c:layout>
                <c:manualLayout>
                  <c:x val="-0.13003057270561416"/>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FE-4610-9F33-BB7CCC2B965F}"/>
                </c:ext>
              </c:extLst>
            </c:dLbl>
            <c:dLbl>
              <c:idx val="8"/>
              <c:layout>
                <c:manualLayout>
                  <c:x val="-0.136369009534581"/>
                  <c:y val="-6.908402350959126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FE-4610-9F33-BB7CCC2B965F}"/>
                </c:ext>
              </c:extLst>
            </c:dLbl>
            <c:dLbl>
              <c:idx val="9"/>
              <c:layout>
                <c:manualLayout>
                  <c:x val="-0.14323988489003234"/>
                  <c:y val="-0.109805706266112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FE-4610-9F33-BB7CCC2B9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Dashboard!$P$32:$P$42</c:f>
              <c:strCache>
                <c:ptCount val="10"/>
                <c:pt idx="0">
                  <c:v>Aman Kumar</c:v>
                </c:pt>
                <c:pt idx="1">
                  <c:v>Ankit Verma</c:v>
                </c:pt>
                <c:pt idx="2">
                  <c:v>Deepak Singh</c:v>
                </c:pt>
                <c:pt idx="3">
                  <c:v>Mohit Kumar</c:v>
                </c:pt>
                <c:pt idx="4">
                  <c:v>Nitin Chaudhary</c:v>
                </c:pt>
                <c:pt idx="5">
                  <c:v>Pankaj Malik</c:v>
                </c:pt>
                <c:pt idx="6">
                  <c:v>Rahul Jain</c:v>
                </c:pt>
                <c:pt idx="7">
                  <c:v>Rohit Sharma</c:v>
                </c:pt>
                <c:pt idx="8">
                  <c:v>Saurabh Gupta</c:v>
                </c:pt>
                <c:pt idx="9">
                  <c:v>Vikas Yadav</c:v>
                </c:pt>
              </c:strCache>
            </c:strRef>
          </c:cat>
          <c:val>
            <c:numRef>
              <c:f>Dashboard!$Q$32:$Q$42</c:f>
              <c:numCache>
                <c:formatCode>0.0%;\-0.0%;0.0%</c:formatCode>
                <c:ptCount val="10"/>
                <c:pt idx="0">
                  <c:v>0.66666666666666663</c:v>
                </c:pt>
                <c:pt idx="1">
                  <c:v>1</c:v>
                </c:pt>
                <c:pt idx="2">
                  <c:v>0.83333333333333337</c:v>
                </c:pt>
                <c:pt idx="3">
                  <c:v>1</c:v>
                </c:pt>
                <c:pt idx="4">
                  <c:v>1</c:v>
                </c:pt>
                <c:pt idx="5">
                  <c:v>0.66666666666666663</c:v>
                </c:pt>
                <c:pt idx="6">
                  <c:v>1</c:v>
                </c:pt>
                <c:pt idx="7">
                  <c:v>1</c:v>
                </c:pt>
                <c:pt idx="8">
                  <c:v>0.83333333333333337</c:v>
                </c:pt>
                <c:pt idx="9">
                  <c:v>0.83333333333333337</c:v>
                </c:pt>
              </c:numCache>
            </c:numRef>
          </c:val>
          <c:extLst>
            <c:ext xmlns:c16="http://schemas.microsoft.com/office/drawing/2014/chart" uri="{C3380CC4-5D6E-409C-BE32-E72D297353CC}">
              <c16:uniqueId val="{00000000-8AFE-4610-9F33-BB7CCC2B965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465665</xdr:colOff>
      <xdr:row>8</xdr:row>
      <xdr:rowOff>4232</xdr:rowOff>
    </xdr:from>
    <xdr:to>
      <xdr:col>7</xdr:col>
      <xdr:colOff>30237</xdr:colOff>
      <xdr:row>20</xdr:row>
      <xdr:rowOff>175380</xdr:rowOff>
    </xdr:to>
    <xdr:graphicFrame macro="">
      <xdr:nvGraphicFramePr>
        <xdr:cNvPr id="9" name="Chart 8">
          <a:extLst>
            <a:ext uri="{FF2B5EF4-FFF2-40B4-BE49-F238E27FC236}">
              <a16:creationId xmlns:a16="http://schemas.microsoft.com/office/drawing/2014/main" id="{BBA39AFC-4CE9-A884-C1A7-690DCFCCC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435427</xdr:colOff>
      <xdr:row>7</xdr:row>
      <xdr:rowOff>221946</xdr:rowOff>
    </xdr:from>
    <xdr:to>
      <xdr:col>11</xdr:col>
      <xdr:colOff>145143</xdr:colOff>
      <xdr:row>21</xdr:row>
      <xdr:rowOff>6047</xdr:rowOff>
    </xdr:to>
    <xdr:graphicFrame macro="">
      <xdr:nvGraphicFramePr>
        <xdr:cNvPr id="14" name="Chart 13">
          <a:extLst>
            <a:ext uri="{FF2B5EF4-FFF2-40B4-BE49-F238E27FC236}">
              <a16:creationId xmlns:a16="http://schemas.microsoft.com/office/drawing/2014/main" id="{1034021A-D795-A416-0181-63DCDAEE6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441475</xdr:colOff>
      <xdr:row>21</xdr:row>
      <xdr:rowOff>191710</xdr:rowOff>
    </xdr:from>
    <xdr:to>
      <xdr:col>7</xdr:col>
      <xdr:colOff>24190</xdr:colOff>
      <xdr:row>37</xdr:row>
      <xdr:rowOff>48382</xdr:rowOff>
    </xdr:to>
    <xdr:graphicFrame macro="">
      <xdr:nvGraphicFramePr>
        <xdr:cNvPr id="15" name="Chart 14">
          <a:extLst>
            <a:ext uri="{FF2B5EF4-FFF2-40B4-BE49-F238E27FC236}">
              <a16:creationId xmlns:a16="http://schemas.microsoft.com/office/drawing/2014/main" id="{4D5300AC-F4C4-B604-2DB3-81801461E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9070</xdr:colOff>
      <xdr:row>30</xdr:row>
      <xdr:rowOff>127000</xdr:rowOff>
    </xdr:from>
    <xdr:to>
      <xdr:col>11</xdr:col>
      <xdr:colOff>12095</xdr:colOff>
      <xdr:row>37</xdr:row>
      <xdr:rowOff>72573</xdr:rowOff>
    </xdr:to>
    <mc:AlternateContent xmlns:mc="http://schemas.openxmlformats.org/markup-compatibility/2006" xmlns:a14="http://schemas.microsoft.com/office/drawing/2010/main">
      <mc:Choice Requires="a14">
        <xdr:graphicFrame macro="">
          <xdr:nvGraphicFramePr>
            <xdr:cNvPr id="17" name="Zone">
              <a:extLst>
                <a:ext uri="{FF2B5EF4-FFF2-40B4-BE49-F238E27FC236}">
                  <a16:creationId xmlns:a16="http://schemas.microsoft.com/office/drawing/2014/main" id="{8A5601CD-8BC6-0422-FD17-3829556CE2D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7145260" y="7626048"/>
              <a:ext cx="4091216" cy="1257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653142</xdr:colOff>
      <xdr:row>12</xdr:row>
      <xdr:rowOff>32657</xdr:rowOff>
    </xdr:from>
    <xdr:to>
      <xdr:col>3</xdr:col>
      <xdr:colOff>4098471</xdr:colOff>
      <xdr:row>26</xdr:row>
      <xdr:rowOff>103415</xdr:rowOff>
    </xdr:to>
    <xdr:sp macro="" textlink="">
      <xdr:nvSpPr>
        <xdr:cNvPr id="2" name="TextBox 1">
          <a:extLst>
            <a:ext uri="{FF2B5EF4-FFF2-40B4-BE49-F238E27FC236}">
              <a16:creationId xmlns:a16="http://schemas.microsoft.com/office/drawing/2014/main" id="{46509B4E-7F52-17DE-3770-5D1BB6D9AFE6}"/>
            </a:ext>
          </a:extLst>
        </xdr:cNvPr>
        <xdr:cNvSpPr txBox="1"/>
      </xdr:nvSpPr>
      <xdr:spPr>
        <a:xfrm>
          <a:off x="653142" y="5497286"/>
          <a:ext cx="10940143" cy="2661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How I Used AI in This Project</a:t>
          </a:r>
          <a:br>
            <a:rPr lang="en-IN" sz="1400" b="1"/>
          </a:br>
          <a:r>
            <a:rPr lang="en-IN" sz="1200"/>
            <a:t>This project was developed with the support of generative AI tools to improve productivity and documentation quality.</a:t>
          </a:r>
        </a:p>
        <a:p>
          <a:endParaRPr lang="en-IN" sz="1200" b="1"/>
        </a:p>
        <a:p>
          <a:r>
            <a:rPr lang="en-IN" sz="1400"/>
            <a:t>AI was used to:</a:t>
          </a:r>
        </a:p>
        <a:p>
          <a:pPr marL="285750" indent="-285750">
            <a:buFont typeface="Arial" panose="020B0604020202020204" pitchFamily="34" charset="0"/>
            <a:buChar char="•"/>
          </a:pPr>
          <a:r>
            <a:rPr lang="en-IN" sz="1200"/>
            <a:t>Generate realistic rider operations data for analysis. </a:t>
          </a:r>
        </a:p>
        <a:p>
          <a:pPr marL="285750" indent="-285750">
            <a:buFont typeface="Arial" panose="020B0604020202020204" pitchFamily="34" charset="0"/>
            <a:buChar char="•"/>
          </a:pPr>
          <a:r>
            <a:rPr lang="en-IN" sz="1200"/>
            <a:t>Validate and optimize Excel formulas. </a:t>
          </a:r>
        </a:p>
        <a:p>
          <a:pPr marL="285750" indent="-285750">
            <a:buFont typeface="Arial" panose="020B0604020202020204" pitchFamily="34" charset="0"/>
            <a:buChar char="•"/>
          </a:pPr>
          <a:r>
            <a:rPr lang="en-IN" sz="1200"/>
            <a:t>Explain each formula in plain English for better documentation. </a:t>
          </a:r>
        </a:p>
        <a:p>
          <a:pPr marL="285750" indent="-285750">
            <a:buFont typeface="Arial" panose="020B0604020202020204" pitchFamily="34" charset="0"/>
            <a:buChar char="•"/>
          </a:pPr>
          <a:r>
            <a:rPr lang="en-IN" sz="1200"/>
            <a:t>Suggest dashboard KPIs, chart selection, and layout. </a:t>
          </a:r>
        </a:p>
        <a:p>
          <a:pPr marL="285750" indent="-285750">
            <a:buFont typeface="Arial" panose="020B0604020202020204" pitchFamily="34" charset="0"/>
            <a:buChar char="•"/>
          </a:pPr>
          <a:r>
            <a:rPr lang="en-IN" sz="1200"/>
            <a:t>Assist in preparing business insights and operational recommendations. </a:t>
          </a:r>
        </a:p>
        <a:p>
          <a:pPr marL="285750" indent="-285750">
            <a:buFont typeface="Arial" panose="020B0604020202020204" pitchFamily="34" charset="0"/>
            <a:buChar char="•"/>
          </a:pPr>
          <a:r>
            <a:rPr lang="en-IN" sz="1200"/>
            <a:t>Improve report writing and overall project presentation.</a:t>
          </a:r>
        </a:p>
        <a:p>
          <a:endParaRPr lang="en-IN" sz="1400" b="1"/>
        </a:p>
        <a:p>
          <a:r>
            <a:rPr lang="en-IN" sz="1200"/>
            <a:t>All formulas, dashboard creation, data validation, pivot tables, and Excel implementation were completed manually, while AI served as a productivity assistant for ideation, debugging, and documentation.</a:t>
          </a:r>
          <a:endParaRPr lang="en-IN" sz="1200" b="1"/>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5443</xdr:colOff>
      <xdr:row>2</xdr:row>
      <xdr:rowOff>174171</xdr:rowOff>
    </xdr:from>
    <xdr:to>
      <xdr:col>13</xdr:col>
      <xdr:colOff>647700</xdr:colOff>
      <xdr:row>45</xdr:row>
      <xdr:rowOff>108857</xdr:rowOff>
    </xdr:to>
    <xdr:sp macro="" textlink="">
      <xdr:nvSpPr>
        <xdr:cNvPr id="2" name="TextBox 1">
          <a:extLst>
            <a:ext uri="{FF2B5EF4-FFF2-40B4-BE49-F238E27FC236}">
              <a16:creationId xmlns:a16="http://schemas.microsoft.com/office/drawing/2014/main" id="{BC240E1F-8B05-2D9A-0818-9BC2472FC4B2}"/>
            </a:ext>
          </a:extLst>
        </xdr:cNvPr>
        <xdr:cNvSpPr txBox="1"/>
      </xdr:nvSpPr>
      <xdr:spPr>
        <a:xfrm>
          <a:off x="658586" y="544285"/>
          <a:ext cx="8479971" cy="789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Weekly Rider Operations MIS Report</a:t>
          </a:r>
        </a:p>
        <a:p>
          <a:endParaRPr lang="en-IN" sz="2000" b="1"/>
        </a:p>
        <a:p>
          <a:pPr>
            <a:spcAft>
              <a:spcPts val="300"/>
            </a:spcAft>
          </a:pPr>
          <a:r>
            <a:rPr lang="en-IN" sz="1600" b="1"/>
            <a:t>Executive Summary</a:t>
          </a:r>
        </a:p>
        <a:p>
          <a:pPr marL="285750" indent="-285750">
            <a:buFont typeface="Arial" panose="020B0604020202020204" pitchFamily="34" charset="0"/>
            <a:buChar char="•"/>
          </a:pPr>
          <a:r>
            <a:rPr lang="en-IN" sz="1400"/>
            <a:t>The rider operations dataset was analyzed over a four-week period to evaluate productivity, attendance, and payouts. </a:t>
          </a:r>
        </a:p>
        <a:p>
          <a:pPr marL="285750" indent="-285750">
            <a:buFont typeface="Arial" panose="020B0604020202020204" pitchFamily="34" charset="0"/>
            <a:buChar char="•"/>
          </a:pPr>
          <a:r>
            <a:rPr lang="en-IN" sz="1400"/>
            <a:t>Most riders maintained consistent attendance, contributing to stable delivery performance and earnings. </a:t>
          </a:r>
        </a:p>
        <a:p>
          <a:pPr marL="285750" indent="-285750">
            <a:buFont typeface="Arial" panose="020B0604020202020204" pitchFamily="34" charset="0"/>
            <a:buChar char="•"/>
          </a:pPr>
          <a:r>
            <a:rPr lang="en-IN" sz="1400"/>
            <a:t>Performance incentives were distributed based on operational activity, while deductions reduced the final payout for some riders.</a:t>
          </a:r>
        </a:p>
        <a:p>
          <a:pPr marL="0" indent="0"/>
          <a:endParaRPr lang="en-IN" sz="1400" b="0">
            <a:solidFill>
              <a:schemeClr val="dk1"/>
            </a:solidFill>
            <a:latin typeface="+mn-lt"/>
            <a:ea typeface="+mn-ea"/>
            <a:cs typeface="+mn-cs"/>
          </a:endParaRPr>
        </a:p>
        <a:p>
          <a:pPr marL="0" indent="0">
            <a:spcAft>
              <a:spcPts val="300"/>
            </a:spcAft>
          </a:pPr>
          <a:r>
            <a:rPr lang="en-IN" sz="1600" b="1">
              <a:solidFill>
                <a:schemeClr val="dk1"/>
              </a:solidFill>
              <a:latin typeface="+mn-lt"/>
              <a:ea typeface="+mn-ea"/>
              <a:cs typeface="+mn-cs"/>
            </a:rPr>
            <a:t>Top Performer</a:t>
          </a:r>
        </a:p>
        <a:p>
          <a:pPr marL="0" indent="0"/>
          <a:r>
            <a:rPr lang="en-IN" sz="1400" b="1">
              <a:solidFill>
                <a:schemeClr val="dk1"/>
              </a:solidFill>
              <a:latin typeface="+mn-lt"/>
              <a:ea typeface="+mn-ea"/>
              <a:cs typeface="+mn-cs"/>
            </a:rPr>
            <a:t>Aman Kumar </a:t>
          </a:r>
          <a:r>
            <a:rPr lang="en-IN" sz="1400">
              <a:solidFill>
                <a:schemeClr val="dk1"/>
              </a:solidFill>
              <a:latin typeface="+mn-lt"/>
              <a:ea typeface="+mn-ea"/>
              <a:cs typeface="+mn-cs"/>
            </a:rPr>
            <a:t>achieved the highest net payout during the reporting period. The rider maintained strong attendance, completed a high number of trips, and consistently qualified for performance bonuses, making them the top-performing rider.</a:t>
          </a:r>
        </a:p>
        <a:p>
          <a:pPr marL="0" indent="0"/>
          <a:endParaRPr lang="en-IN" sz="1400">
            <a:solidFill>
              <a:schemeClr val="dk1"/>
            </a:solidFill>
            <a:latin typeface="+mn-lt"/>
            <a:ea typeface="+mn-ea"/>
            <a:cs typeface="+mn-cs"/>
          </a:endParaRPr>
        </a:p>
        <a:p>
          <a:pPr marL="0" indent="0">
            <a:spcAft>
              <a:spcPts val="300"/>
            </a:spcAft>
          </a:pPr>
          <a:r>
            <a:rPr lang="en-IN" sz="1600" b="1">
              <a:solidFill>
                <a:schemeClr val="dk1"/>
              </a:solidFill>
              <a:latin typeface="+mn-lt"/>
              <a:ea typeface="+mn-ea"/>
              <a:cs typeface="+mn-cs"/>
            </a:rPr>
            <a:t>Riders at Risk</a:t>
          </a:r>
        </a:p>
        <a:p>
          <a:pPr marL="0" marR="0" lvl="0" indent="0" defTabSz="914400" eaLnBrk="1" fontAlgn="auto" latinLnBrk="0" hangingPunct="1">
            <a:lnSpc>
              <a:spcPct val="100000"/>
            </a:lnSpc>
            <a:spcBef>
              <a:spcPts val="0"/>
            </a:spcBef>
            <a:spcAft>
              <a:spcPts val="300"/>
            </a:spcAft>
            <a:buClrTx/>
            <a:buSzTx/>
            <a:buFontTx/>
            <a:buNone/>
            <a:tabLst/>
            <a:defRPr/>
          </a:pPr>
          <a:r>
            <a:rPr lang="en-IN" sz="1400" b="1">
              <a:solidFill>
                <a:schemeClr val="dk1"/>
              </a:solidFill>
              <a:latin typeface="+mn-lt"/>
              <a:ea typeface="+mn-ea"/>
              <a:cs typeface="+mn-cs"/>
            </a:rPr>
            <a:t>Pankaj Malik </a:t>
          </a:r>
          <a:r>
            <a:rPr lang="en-IN" sz="1400">
              <a:solidFill>
                <a:schemeClr val="dk1"/>
              </a:solidFill>
              <a:latin typeface="+mn-lt"/>
              <a:ea typeface="+mn-ea"/>
              <a:cs typeface="+mn-cs"/>
            </a:rPr>
            <a:t>recorded below-average attendance and completed fewer trips compared to other riders. Lower productivity resulted in reduced earnings and fewer bonus opportunities. Continued monitoring is recommended to improve operational performance.</a:t>
          </a:r>
        </a:p>
        <a:p>
          <a:pPr marL="0" marR="0" lvl="0" indent="0" defTabSz="914400" eaLnBrk="1" fontAlgn="auto" latinLnBrk="0" hangingPunct="1">
            <a:lnSpc>
              <a:spcPct val="100000"/>
            </a:lnSpc>
            <a:spcBef>
              <a:spcPts val="0"/>
            </a:spcBef>
            <a:spcAft>
              <a:spcPts val="300"/>
            </a:spcAft>
            <a:buClrTx/>
            <a:buSzTx/>
            <a:buFontTx/>
            <a:buNone/>
            <a:tabLst/>
            <a:defRPr/>
          </a:pPr>
          <a:endParaRPr lang="en-IN" sz="1400">
            <a:solidFill>
              <a:schemeClr val="dk1"/>
            </a:solidFill>
            <a:latin typeface="+mn-lt"/>
            <a:ea typeface="+mn-ea"/>
            <a:cs typeface="+mn-cs"/>
          </a:endParaRPr>
        </a:p>
        <a:p>
          <a:pPr marL="0" indent="0">
            <a:spcAft>
              <a:spcPts val="300"/>
            </a:spcAft>
          </a:pPr>
          <a:r>
            <a:rPr lang="en-IN" sz="1600" b="1">
              <a:solidFill>
                <a:schemeClr val="dk1"/>
              </a:solidFill>
              <a:latin typeface="+mn-lt"/>
              <a:ea typeface="+mn-ea"/>
              <a:cs typeface="+mn-cs"/>
            </a:rPr>
            <a:t>Recommended Actions</a:t>
          </a:r>
        </a:p>
        <a:p>
          <a:pPr marL="285750" indent="-285750">
            <a:buFont typeface="Arial" panose="020B0604020202020204" pitchFamily="34" charset="0"/>
            <a:buChar char="•"/>
          </a:pPr>
          <a:r>
            <a:rPr lang="en-IN" sz="1400"/>
            <a:t>Recognize top-performing riders through incentive programs to encourage consistent performance. </a:t>
          </a:r>
        </a:p>
        <a:p>
          <a:pPr marL="285750" indent="-285750">
            <a:buFont typeface="Arial" panose="020B0604020202020204" pitchFamily="34" charset="0"/>
            <a:buChar char="•"/>
          </a:pPr>
          <a:r>
            <a:rPr lang="en-IN" sz="1400"/>
            <a:t>Review attendance patterns for low-performing riders and identify operational challenges. </a:t>
          </a:r>
        </a:p>
        <a:p>
          <a:pPr marL="285750" indent="-285750">
            <a:buFont typeface="Arial" panose="020B0604020202020204" pitchFamily="34" charset="0"/>
            <a:buChar char="•"/>
          </a:pPr>
          <a:r>
            <a:rPr lang="en-IN" sz="1400"/>
            <a:t>Optimize rider allocation across delivery zones to balance workload. </a:t>
          </a:r>
        </a:p>
        <a:p>
          <a:pPr marL="285750" indent="-285750">
            <a:buFont typeface="Arial" panose="020B0604020202020204" pitchFamily="34" charset="0"/>
            <a:buChar char="•"/>
          </a:pPr>
          <a:r>
            <a:rPr lang="en-IN" sz="1400"/>
            <a:t>Monitor deductions regularly to ensure transparency and minimize avoidable penalties. </a:t>
          </a:r>
        </a:p>
        <a:p>
          <a:pPr marL="285750" indent="-285750">
            <a:buFont typeface="Arial" panose="020B0604020202020204" pitchFamily="34" charset="0"/>
            <a:buChar char="•"/>
          </a:pPr>
          <a:r>
            <a:rPr lang="en-IN" sz="1400"/>
            <a:t>Continue tracking weekly KPIs to support data-driven operational decisions. </a:t>
          </a:r>
        </a:p>
        <a:p>
          <a:pPr marL="0" marR="0" lvl="0" indent="0" defTabSz="914400" eaLnBrk="1" fontAlgn="auto" latinLnBrk="0" hangingPunct="1">
            <a:lnSpc>
              <a:spcPct val="100000"/>
            </a:lnSpc>
            <a:spcBef>
              <a:spcPts val="0"/>
            </a:spcBef>
            <a:spcAft>
              <a:spcPts val="300"/>
            </a:spcAft>
            <a:buClrTx/>
            <a:buSzTx/>
            <a:buFontTx/>
            <a:buNone/>
            <a:tabLst/>
            <a:defRPr/>
          </a:pPr>
          <a:endParaRPr lang="en-IN" sz="1400">
            <a:solidFill>
              <a:schemeClr val="dk1"/>
            </a:solidFill>
            <a:latin typeface="+mn-lt"/>
            <a:ea typeface="+mn-ea"/>
            <a:cs typeface="+mn-cs"/>
          </a:endParaRPr>
        </a:p>
        <a:p>
          <a:r>
            <a:rPr lang="en-IN" sz="1400" b="1"/>
            <a:t>Key Performance Indicators Reviewed</a:t>
          </a:r>
        </a:p>
        <a:p>
          <a:pPr marL="285750" indent="-285750">
            <a:buFont typeface="Arial" panose="020B0604020202020204" pitchFamily="34" charset="0"/>
            <a:buChar char="•"/>
          </a:pPr>
          <a:r>
            <a:rPr lang="en-IN" sz="1400"/>
            <a:t>Total Trips Completed </a:t>
          </a:r>
        </a:p>
        <a:p>
          <a:pPr marL="285750" indent="-285750">
            <a:buFont typeface="Arial" panose="020B0604020202020204" pitchFamily="34" charset="0"/>
            <a:buChar char="•"/>
          </a:pPr>
          <a:r>
            <a:rPr lang="en-IN" sz="1400"/>
            <a:t>Total Earnings </a:t>
          </a:r>
        </a:p>
        <a:p>
          <a:pPr marL="285750" indent="-285750">
            <a:buFont typeface="Arial" panose="020B0604020202020204" pitchFamily="34" charset="0"/>
            <a:buChar char="•"/>
          </a:pPr>
          <a:r>
            <a:rPr lang="en-IN" sz="1400"/>
            <a:t>Net Payout </a:t>
          </a:r>
        </a:p>
        <a:p>
          <a:pPr marL="285750" indent="-285750">
            <a:buFont typeface="Arial" panose="020B0604020202020204" pitchFamily="34" charset="0"/>
            <a:buChar char="•"/>
          </a:pPr>
          <a:r>
            <a:rPr lang="en-IN" sz="1400"/>
            <a:t>Attendance Rate </a:t>
          </a:r>
        </a:p>
        <a:p>
          <a:pPr marL="285750" indent="-285750">
            <a:buFont typeface="Arial" panose="020B0604020202020204" pitchFamily="34" charset="0"/>
            <a:buChar char="•"/>
          </a:pPr>
          <a:r>
            <a:rPr lang="en-IN" sz="1400"/>
            <a:t>Bonus Eligibility </a:t>
          </a:r>
        </a:p>
        <a:p>
          <a:pPr marL="285750" indent="-285750">
            <a:buFont typeface="Arial" panose="020B0604020202020204" pitchFamily="34" charset="0"/>
            <a:buChar char="•"/>
          </a:pPr>
          <a:r>
            <a:rPr lang="en-IN" sz="1400"/>
            <a:t>Total Deductions</a:t>
          </a:r>
        </a:p>
        <a:p>
          <a:pPr marL="0" marR="0" lvl="0" indent="0" defTabSz="914400" eaLnBrk="1" fontAlgn="auto" latinLnBrk="0" hangingPunct="1">
            <a:lnSpc>
              <a:spcPct val="100000"/>
            </a:lnSpc>
            <a:spcBef>
              <a:spcPts val="0"/>
            </a:spcBef>
            <a:spcAft>
              <a:spcPts val="300"/>
            </a:spcAft>
            <a:buClrTx/>
            <a:buSzTx/>
            <a:buFontTx/>
            <a:buNone/>
            <a:tabLst/>
            <a:defRPr/>
          </a:pPr>
          <a:endParaRPr lang="en-IN" sz="1400">
            <a:solidFill>
              <a:schemeClr val="dk1"/>
            </a:solidFill>
            <a:latin typeface="+mn-lt"/>
            <a:ea typeface="+mn-ea"/>
            <a:cs typeface="+mn-cs"/>
          </a:endParaRPr>
        </a:p>
        <a:p>
          <a:pPr marL="0" indent="0">
            <a:spcAft>
              <a:spcPts val="300"/>
            </a:spcAft>
          </a:pPr>
          <a:endParaRPr lang="en-IN" sz="1600" b="1">
            <a:solidFill>
              <a:schemeClr val="dk1"/>
            </a:solidFill>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7407406" createdVersion="5" refreshedVersion="8" minRefreshableVersion="3" recordCount="0" supportSubquery="1" supportAdvancedDrill="1" xr:uid="{72505E50-B3A0-407F-B3EF-8115F64C8E15}">
  <cacheSource type="external" connectionId="1"/>
  <cacheFields count="5">
    <cacheField name="[Table1].[Week].[Week]" caption="Week" numFmtId="0" hierarchy="9" level="1">
      <sharedItems count="5">
        <s v="Week 1"/>
        <s v="Week 2"/>
        <s v="Week 3"/>
        <s v="Week 4"/>
        <s v="Week 5"/>
      </sharedItems>
    </cacheField>
    <cacheField name="[Table1].[Rider_Name].[Rider_Name]" caption="Rider_Name" numFmtId="0" hierarchy="1" level="1">
      <sharedItems containsNonDate="0" count="10">
        <s v="Rahul Jain"/>
        <s v="Rohit Sharma"/>
        <s v="Saurabh Gupta"/>
        <s v="Aman Kumar"/>
        <s v="Ankit Verma"/>
        <s v="Deepak Singh"/>
        <s v="Mohit Kumar"/>
        <s v="Nitin Chaudhary"/>
        <s v="Pankaj Malik"/>
        <s v="Vikas Yadav"/>
      </sharedItems>
    </cacheField>
    <cacheField name="[Measures].[Sum of Trips_Completed]" caption="Sum of Trips_Completed" numFmtId="0" hierarchy="43" level="32767"/>
    <cacheField name="[Measures].[Sum of Earnings_Per_Trip]" caption="Sum of Earnings_Per_Trip" numFmtId="0" hierarchy="44"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2" memberValueDatatype="130" unbalanced="0"/>
    <cacheHierarchy uniqueName="[Table1].[Rider_Name]" caption="Rider_Name" attribute="1" defaultMemberUniqueName="[Table1].[Rider_Name].[All]" allUniqueName="[Table1].[Rider_Name].[All]" dimensionUniqueName="[Table1]" displayFolder="" count="2" memberValueDatatype="13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Trips_Completed]" caption="Trips_Completed" attribute="1" defaultMemberUniqueName="[Table1].[Trips_Completed].[All]" allUniqueName="[Table1].[Trips_Completed].[All]" dimensionUniqueName="[Table1]" displayFolder="" count="2" memberValueDatatype="20" unbalanced="0"/>
    <cacheHierarchy uniqueName="[Table1].[Earnings_Per_Trip]" caption="Earnings_Per_Trip" attribute="1" defaultMemberUniqueName="[Table1].[Earnings_Per_Trip].[All]" allUniqueName="[Table1].[Earnings_Per_Trip].[All]" dimensionUniqueName="[Table1]" displayFolder="" count="2" memberValueDatatype="20" unbalanced="0"/>
    <cacheHierarchy uniqueName="[Table1].[Bonus_Eligible (Y/N)]" caption="Bonus_Eligible (Y/N)" attribute="1" defaultMemberUniqueName="[Table1].[Bonus_Eligible (Y/N)].[All]" allUniqueName="[Table1].[Bonus_Eligible (Y/N)].[All]" dimensionUniqueName="[Table1]" displayFolder="" count="2" memberValueDatatype="130" unbalanced="0"/>
    <cacheHierarchy uniqueName="[Table1].[Deductions]" caption="Deductions" attribute="1" defaultMemberUniqueName="[Table1].[Deductions].[All]" allUniqueName="[Table1].[Deductions].[All]" dimensionUniqueName="[Table1]" displayFolder="" count="2" memberValueDatatype="5" unbalanced="0"/>
    <cacheHierarchy uniqueName="[Table1].[Attendance(Present/Absent)]" caption="Attendance(Present/Absent)" attribute="1" defaultMemberUniqueName="[Table1].[Attendance(Present/Absent)].[All]" allUniqueName="[Table1].[Attendance(Present/Absent)].[All]" dimensionUniqueName="[Table1]" displayFolder="" count="2" memberValueDatatype="130" unbalanced="0"/>
    <cacheHierarchy uniqueName="[Table1].[Zone]" caption="Zone" attribute="1" defaultMemberUniqueName="[Table1].[Zone].[All]" allUniqueName="[Table1].[Zone].[All]" dimensionUniqueName="[Table1]" displayFolder="" count="2" memberValueDatatype="130" unbalanced="0"/>
    <cacheHierarchy uniqueName="[Table1].[Week]" caption="Week" attribute="1" defaultMemberUniqueName="[Table1].[Week].[All]" allUniqueName="[Table1].[Week].[All]" dimensionUniqueName="[Table1]" displayFolder="" count="2" memberValueDatatype="130" unbalanced="0">
      <fieldsUsage count="2">
        <fieldUsage x="-1"/>
        <fieldUsage x="0"/>
      </fieldsUsage>
    </cacheHierarchy>
    <cacheHierarchy uniqueName="[Table2].[Rider_ID]" caption="Rider_ID" attribute="1" defaultMemberUniqueName="[Table2].[Rider_ID].[All]" allUniqueName="[Table2].[Rider_ID].[All]" dimensionUniqueName="[Table2]" displayFolder="" count="2" memberValueDatatype="130" unbalanced="0"/>
    <cacheHierarchy uniqueName="[Table2].[Rider_Name]" caption="Rider_Name" attribute="1" defaultMemberUniqueName="[Table2].[Rider_Name].[All]" allUniqueName="[Table2].[Rider_Name].[All]" dimensionUniqueName="[Table2]" displayFolder="" count="2" memberValueDatatype="130" unbalanced="0"/>
    <cacheHierarchy uniqueName="[Table2].[Date]" caption="Date" attribute="1" time="1" defaultMemberUniqueName="[Table2].[Date].[All]" allUniqueName="[Table2].[Date].[All]" dimensionUniqueName="[Table2]" displayFolder="" count="2" memberValueDatatype="7" unbalanced="0"/>
    <cacheHierarchy uniqueName="[Table2].[Trips_Completed]" caption="Trips_Completed" attribute="1" defaultMemberUniqueName="[Table2].[Trips_Completed].[All]" allUniqueName="[Table2].[Trips_Completed].[All]" dimensionUniqueName="[Table2]" displayFolder="" count="2" memberValueDatatype="20" unbalanced="0"/>
    <cacheHierarchy uniqueName="[Table2].[Earnings_Per_Trip]" caption="Earnings_Per_Trip" attribute="1" defaultMemberUniqueName="[Table2].[Earnings_Per_Trip].[All]" allUniqueName="[Table2].[Earnings_Per_Trip].[All]" dimensionUniqueName="[Table2]" displayFolder="" count="2" memberValueDatatype="20" unbalanced="0"/>
    <cacheHierarchy uniqueName="[Table2].[Bonus_Eligible (Y/N)]" caption="Bonus_Eligible (Y/N)" attribute="1" defaultMemberUniqueName="[Table2].[Bonus_Eligible (Y/N)].[All]" allUniqueName="[Table2].[Bonus_Eligible (Y/N)].[All]" dimensionUniqueName="[Table2]" displayFolder="" count="2" memberValueDatatype="130" unbalanced="0"/>
    <cacheHierarchy uniqueName="[Table2].[Deductions]" caption="Deductions" attribute="1" defaultMemberUniqueName="[Table2].[Deductions].[All]" allUniqueName="[Table2].[Deductions].[All]" dimensionUniqueName="[Table2]" displayFolder="" count="2" memberValueDatatype="5" unbalanced="0"/>
    <cacheHierarchy uniqueName="[Table2].[Attendance(Present/Absent)]" caption="Attendance(Present/Absent)" attribute="1" defaultMemberUniqueName="[Table2].[Attendance(Present/Absent)].[All]" allUniqueName="[Table2].[Attendance(Present/Absent)].[All]" dimensionUniqueName="[Table2]" displayFolder="" count="2"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4"/>
      </fieldsUsage>
    </cacheHierarchy>
    <cacheHierarchy uniqueName="[Table2].[Rider's_ID]" caption="Rider's_ID" attribute="1" defaultMemberUniqueName="[Table2].[Rider's_ID].[All]" allUniqueName="[Table2].[Rider's_ID].[All]" dimensionUniqueName="[Table2]" displayFolder="" count="2" memberValueDatatype="130" unbalanced="0"/>
    <cacheHierarchy uniqueName="[Table2].[Rider's_Name]" caption="Rider's_Name" attribute="1" defaultMemberUniqueName="[Table2].[Rider's_Name].[All]" allUniqueName="[Table2].[Rider's_Name].[All]" dimensionUniqueName="[Table2]" displayFolder="" count="2" memberValueDatatype="130" unbalanced="0"/>
    <cacheHierarchy uniqueName="[Table2].[Total_Trips]" caption="Total_Trips" attribute="1" defaultMemberUniqueName="[Table2].[Total_Trips].[All]" allUniqueName="[Table2].[Total_Trips].[All]" dimensionUniqueName="[Table2]" displayFolder="" count="2" memberValueDatatype="20" unbalanced="0"/>
    <cacheHierarchy uniqueName="[Table2].[Total_Earnings]" caption="Total_Earnings" attribute="1" defaultMemberUniqueName="[Table2].[Total_Earnings].[All]" allUniqueName="[Table2].[Total_Earnings].[All]" dimensionUniqueName="[Table2]" displayFolder="" count="2" memberValueDatatype="20" unbalanced="0"/>
    <cacheHierarchy uniqueName="[Table2].[Bonus_Count]" caption="Bonus_Count" attribute="1" defaultMemberUniqueName="[Table2].[Bonus_Count].[All]" allUniqueName="[Table2].[Bonus_Count].[All]" dimensionUniqueName="[Table2]" displayFolder="" count="2" memberValueDatatype="20" unbalanced="0"/>
    <cacheHierarchy uniqueName="[Table2].[Attendance_Rate]" caption="Attendance_Rate" attribute="1" defaultMemberUniqueName="[Table2].[Attendance_Rate].[All]" allUniqueName="[Table2].[Attendance_Rate].[All]" dimensionUniqueName="[Table2]" displayFolder="" count="2" memberValueDatatype="5" unbalanced="0"/>
    <cacheHierarchy uniqueName="[Table2].[Deduction_Total]" caption="Deduction_Total" attribute="1" defaultMemberUniqueName="[Table2].[Deduction_Total].[All]" allUniqueName="[Table2].[Deduction_Total].[All]" dimensionUniqueName="[Table2]" displayFolder="" count="2" memberValueDatatype="5" unbalanced="0"/>
    <cacheHierarchy uniqueName="[Table2].[Net_Payout]" caption="Net_Payout" attribute="1" defaultMemberUniqueName="[Table2].[Net_Payout].[All]" allUniqueName="[Table2].[Net_Payout].[All]" dimensionUniqueName="[Table2]" displayFolder="" count="2"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2" memberValueDatatype="5" unbalanced="0"/>
    <cacheHierarchy uniqueName="[Table2].[Avg_Earnings_Per_Day]" caption="Avg_Earnings_Per_Day" attribute="1" defaultMemberUniqueName="[Table2].[Avg_Earnings_Per_Day].[All]" allUniqueName="[Table2].[Avg_Earnings_Per_Day].[All]" dimensionUniqueName="[Table2]" displayFolder="" count="2" memberValueDatatype="5" unbalanced="0"/>
    <cacheHierarchy uniqueName="[Table2].[Higher_Trips_Per_Day]" caption="Higher_Trips_Per_Day" attribute="1" defaultMemberUniqueName="[Table2].[Higher_Trips_Per_Day].[All]" allUniqueName="[Table2].[Higher_Trips_Per_Day].[All]" dimensionUniqueName="[Table2]" displayFolder="" count="2" memberValueDatatype="20" unbalanced="0"/>
    <cacheHierarchy uniqueName="[Table2].[Bonus_Eligibility %]" caption="Bonus_Eligibility %" attribute="1" defaultMemberUniqueName="[Table2].[Bonus_Eligibility %].[All]" allUniqueName="[Table2].[Bonus_Eligibility %].[All]" dimensionUniqueName="[Table2]" displayFolder="" count="2" memberValueDatatype="5" unbalanced="0"/>
    <cacheHierarchy uniqueName="[Table2].[Zone_Lookup]" caption="Zone_Lookup" attribute="1" defaultMemberUniqueName="[Table2].[Zone_Lookup].[All]" allUniqueName="[Table2].[Zone_Lookup].[All]" dimensionUniqueName="[Table2]" displayFolder="" count="2" memberValueDatatype="130" unbalanced="0"/>
    <cacheHierarchy uniqueName="[Measures].[Total Net Payout]" caption="Total Net Payout" measure="1" displayFolder="" measureGroup="Table2" count="0"/>
    <cacheHierarchy uniqueName="[Measures].[Avg Trips Per Rider]" caption="Avg Trips Per Rider" measure="1" displayFolder="" measureGroup="Table2" count="0"/>
    <cacheHierarchy uniqueName="[Measures].[Bonuses Given]" caption="Bonuses Given" measure="1" displayFolder="" measureGroup="Table2" count="0"/>
    <cacheHierarchy uniqueName="[Measures].[Attendance Rate]" caption="Attendance Rate"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7986114" createdVersion="5" refreshedVersion="8" minRefreshableVersion="3" recordCount="0" supportSubquery="1" supportAdvancedDrill="1" xr:uid="{193C8C81-6FF1-4E96-9F4D-355F58E36AE1}">
  <cacheSource type="external" connectionId="1"/>
  <cacheFields count="3">
    <cacheField name="[Table2].[Rider's_Name].[Rider's_Name]" caption="Rider's_Name" numFmtId="0" hierarchy="20" level="1">
      <sharedItems count="10">
        <s v="Aman Kumar"/>
        <s v="Ankit Verma"/>
        <s v="Deepak Singh"/>
        <s v="Mohit Kumar"/>
        <s v="Nitin Chaudhary"/>
        <s v="Pankaj Malik"/>
        <s v="Rahul Jain"/>
        <s v="Rohit Sharma"/>
        <s v="Saurabh Gupta"/>
        <s v="Vikas Yadav"/>
      </sharedItems>
    </cacheField>
    <cacheField name="[Measures].[Attendance Rate]" caption="Attendance Rate" numFmtId="0" hierarchy="35"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2"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2"/>
      </fieldsUsage>
    </cacheHierarchy>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2" memberValueDatatype="130" unbalanced="0">
      <fieldsUsage count="2">
        <fieldUsage x="-1"/>
        <fieldUsage x="0"/>
      </fieldsUsage>
    </cacheHierarchy>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cacheHierarchy uniqueName="[Measures].[Avg Trips Per Rider]" caption="Avg Trips Per Rider" measure="1" displayFolder="" measureGroup="Table2" count="0"/>
    <cacheHierarchy uniqueName="[Measures].[Bonuses Given]" caption="Bonuses Given" measure="1" displayFolder="" measureGroup="Table2" count="0"/>
    <cacheHierarchy uniqueName="[Measures].[Attendance Rate]" caption="Attendance Rate" measure="1" displayFolder="" measureGroup="Table2" count="0" oneField="1">
      <fieldsUsage count="1">
        <fieldUsage x="1"/>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8101852" createdVersion="5" refreshedVersion="8" minRefreshableVersion="3" recordCount="0" supportSubquery="1" supportAdvancedDrill="1" xr:uid="{BA1060AE-54A6-4F0F-A136-2B16010746E2}">
  <cacheSource type="external" connectionId="1"/>
  <cacheFields count="2">
    <cacheField name="[Measures].[Total Net Payout]" caption="Total Net Payout" numFmtId="0" hierarchy="32"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0"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1"/>
      </fieldsUsage>
    </cacheHierarchy>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0" memberValueDatatype="130" unbalanced="0"/>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oneField="1">
      <fieldsUsage count="1">
        <fieldUsage x="0"/>
      </fieldsUsage>
    </cacheHierarchy>
    <cacheHierarchy uniqueName="[Measures].[Avg Trips Per Rider]" caption="Avg Trips Per Rider" measure="1" displayFolder="" measureGroup="Table2" count="0"/>
    <cacheHierarchy uniqueName="[Measures].[Bonuses Given]" caption="Bonuses Given" measure="1" displayFolder="" measureGroup="Table2" count="0"/>
    <cacheHierarchy uniqueName="[Measures].[Attendance Rate]" caption="Attendance Rate"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8217591" createdVersion="5" refreshedVersion="8" minRefreshableVersion="3" recordCount="0" supportSubquery="1" supportAdvancedDrill="1" xr:uid="{E1C7F7BE-D20E-4EA0-9935-F8D8A40F7FF6}">
  <cacheSource type="external" connectionId="1"/>
  <cacheFields count="2">
    <cacheField name="[Measures].[Bonuses Given]" caption="Bonuses Given" numFmtId="0" hierarchy="34"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0"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1"/>
      </fieldsUsage>
    </cacheHierarchy>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0" memberValueDatatype="130" unbalanced="0"/>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cacheHierarchy uniqueName="[Measures].[Avg Trips Per Rider]" caption="Avg Trips Per Rider" measure="1" displayFolder="" measureGroup="Table2" count="0"/>
    <cacheHierarchy uniqueName="[Measures].[Bonuses Given]" caption="Bonuses Given" measure="1" displayFolder="" measureGroup="Table2" count="0" oneField="1">
      <fieldsUsage count="1">
        <fieldUsage x="0"/>
      </fieldsUsage>
    </cacheHierarchy>
    <cacheHierarchy uniqueName="[Measures].[Attendance Rate]" caption="Attendance Rate"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8449076" createdVersion="5" refreshedVersion="8" minRefreshableVersion="3" recordCount="0" supportSubquery="1" supportAdvancedDrill="1" xr:uid="{D71F839C-5431-47BD-A2BD-EA5C34F97B85}">
  <cacheSource type="external" connectionId="1"/>
  <cacheFields count="2">
    <cacheField name="[Measures].[Avg Trips Per Rider]" caption="Avg Trips Per Rider" numFmtId="0" hierarchy="33"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0"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1"/>
      </fieldsUsage>
    </cacheHierarchy>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0" memberValueDatatype="130" unbalanced="0"/>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cacheHierarchy uniqueName="[Measures].[Avg Trips Per Rider]" caption="Avg Trips Per Rider" measure="1" displayFolder="" measureGroup="Table2" count="0" oneField="1">
      <fieldsUsage count="1">
        <fieldUsage x="0"/>
      </fieldsUsage>
    </cacheHierarchy>
    <cacheHierarchy uniqueName="[Measures].[Bonuses Given]" caption="Bonuses Given" measure="1" displayFolder="" measureGroup="Table2" count="0"/>
    <cacheHierarchy uniqueName="[Measures].[Attendance Rate]" caption="Attendance Rate"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8912037" createdVersion="5" refreshedVersion="8" minRefreshableVersion="3" recordCount="0" supportSubquery="1" supportAdvancedDrill="1" xr:uid="{C25CE84F-9264-45B5-8E2F-884FAB32E293}">
  <cacheSource type="external" connectionId="1"/>
  <cacheFields count="3">
    <cacheField name="[Table2].[Rider_Name].[Rider_Name]" caption="Rider_Name" numFmtId="0" hierarchy="11" level="1">
      <sharedItems count="5">
        <s v="Ankit Verma"/>
        <s v="Mohit Kumar"/>
        <s v="Nitin Chaudhary"/>
        <s v="Rohit Sharma"/>
        <s v="Vikas Yadav"/>
      </sharedItems>
    </cacheField>
    <cacheField name="[Measures].[Total Net Payout]" caption="Total Net Payout" numFmtId="0" hierarchy="32"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0"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2" memberValueDatatype="130" unbalanced="0">
      <fieldsUsage count="2">
        <fieldUsage x="-1"/>
        <fieldUsage x="0"/>
      </fieldsUsage>
    </cacheHierarchy>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2"/>
      </fieldsUsage>
    </cacheHierarchy>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0" memberValueDatatype="130" unbalanced="0"/>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oneField="1">
      <fieldsUsage count="1">
        <fieldUsage x="1"/>
      </fieldsUsage>
    </cacheHierarchy>
    <cacheHierarchy uniqueName="[Measures].[Avg Trips Per Rider]" caption="Avg Trips Per Rider" measure="1" displayFolder="" measureGroup="Table2" count="0"/>
    <cacheHierarchy uniqueName="[Measures].[Bonuses Given]" caption="Bonuses Given" measure="1" displayFolder="" measureGroup="Table2" count="0"/>
    <cacheHierarchy uniqueName="[Measures].[Attendance Rate]" caption="Attendance Rate"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960809027776" createdVersion="5" refreshedVersion="8" minRefreshableVersion="3" recordCount="0" supportSubquery="1" supportAdvancedDrill="1" xr:uid="{515718FB-1926-4B62-BB79-78BDFA0625E9}">
  <cacheSource type="external" connectionId="1"/>
  <cacheFields count="2">
    <cacheField name="[Measures].[Attendance Rate]" caption="Attendance Rate" numFmtId="0" hierarchy="35" level="32767"/>
    <cacheField name="[Table2].[Zone].[Zone]" caption="Zone" numFmtId="0" hierarchy="18" level="1">
      <sharedItems containsSemiMixedTypes="0" containsNonDate="0" containsString="0"/>
    </cacheField>
  </cacheFields>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0"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fieldsUsage count="2">
        <fieldUsage x="-1"/>
        <fieldUsage x="1"/>
      </fieldsUsage>
    </cacheHierarchy>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0" memberValueDatatype="130" unbalanced="0"/>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cacheHierarchy uniqueName="[Measures].[Avg Trips Per Rider]" caption="Avg Trips Per Rider" measure="1" displayFolder="" measureGroup="Table2" count="0"/>
    <cacheHierarchy uniqueName="[Measures].[Bonuses Given]" caption="Bonuses Given" measure="1" displayFolder="" measureGroup="Table2" count="0"/>
    <cacheHierarchy uniqueName="[Measures].[Attendance Rate]" caption="Attendance Rate" measure="1" displayFolder="" measureGroup="Table2" count="0" oneField="1">
      <fieldsUsage count="1">
        <fieldUsage x="0"/>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 Mukherjee" refreshedDate="46199.697824305556" createdVersion="3" refreshedVersion="8" minRefreshableVersion="3" recordCount="0" supportSubquery="1" supportAdvancedDrill="1" xr:uid="{BF95B2AA-4ADE-457C-BFAD-348CE1555A86}">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Table1].[Rider_ID]" caption="Rider_ID" attribute="1" defaultMemberUniqueName="[Table1].[Rider_ID].[All]" allUniqueName="[Table1].[Rider_ID].[All]" dimensionUniqueName="[Table1]" displayFolder="" count="0" memberValueDatatype="130" unbalanced="0"/>
    <cacheHierarchy uniqueName="[Table1].[Rider_Name]" caption="Rider_Name" attribute="1" defaultMemberUniqueName="[Table1].[Rider_Name].[All]" allUniqueName="[Table1].[Rider_Name].[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rips_Completed]" caption="Trips_Completed" attribute="1" defaultMemberUniqueName="[Table1].[Trips_Completed].[All]" allUniqueName="[Table1].[Trips_Completed].[All]" dimensionUniqueName="[Table1]" displayFolder="" count="0" memberValueDatatype="20" unbalanced="0"/>
    <cacheHierarchy uniqueName="[Table1].[Earnings_Per_Trip]" caption="Earnings_Per_Trip" attribute="1" defaultMemberUniqueName="[Table1].[Earnings_Per_Trip].[All]" allUniqueName="[Table1].[Earnings_Per_Trip].[All]" dimensionUniqueName="[Table1]" displayFolder="" count="0" memberValueDatatype="20" unbalanced="0"/>
    <cacheHierarchy uniqueName="[Table1].[Bonus_Eligible (Y/N)]" caption="Bonus_Eligible (Y/N)" attribute="1" defaultMemberUniqueName="[Table1].[Bonus_Eligible (Y/N)].[All]" allUniqueName="[Table1].[Bonus_Eligible (Y/N)].[All]" dimensionUniqueName="[Table1]" displayFolder="" count="0" memberValueDatatype="130" unbalanced="0"/>
    <cacheHierarchy uniqueName="[Table1].[Deductions]" caption="Deductions" attribute="1" defaultMemberUniqueName="[Table1].[Deductions].[All]" allUniqueName="[Table1].[Deductions].[All]" dimensionUniqueName="[Table1]" displayFolder="" count="0" memberValueDatatype="5" unbalanced="0"/>
    <cacheHierarchy uniqueName="[Table1].[Attendance(Present/Absent)]" caption="Attendance(Present/Absent)" attribute="1" defaultMemberUniqueName="[Table1].[Attendance(Present/Absent)].[All]" allUniqueName="[Table1].[Attendance(Present/Absent)].[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Week]" caption="Week" attribute="1" defaultMemberUniqueName="[Table1].[Week].[All]" allUniqueName="[Table1].[Week].[All]" dimensionUniqueName="[Table1]" displayFolder="" count="0" memberValueDatatype="130" unbalanced="0"/>
    <cacheHierarchy uniqueName="[Table2].[Rider_ID]" caption="Rider_ID" attribute="1" defaultMemberUniqueName="[Table2].[Rider_ID].[All]" allUniqueName="[Table2].[Rider_ID].[All]" dimensionUniqueName="[Table2]" displayFolder="" count="0" memberValueDatatype="130" unbalanced="0"/>
    <cacheHierarchy uniqueName="[Table2].[Rider_Name]" caption="Rider_Name" attribute="1" defaultMemberUniqueName="[Table2].[Rider_Name].[All]" allUniqueName="[Table2].[Rider_Name].[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Trips_Completed]" caption="Trips_Completed" attribute="1" defaultMemberUniqueName="[Table2].[Trips_Completed].[All]" allUniqueName="[Table2].[Trips_Completed].[All]" dimensionUniqueName="[Table2]" displayFolder="" count="0" memberValueDatatype="20" unbalanced="0"/>
    <cacheHierarchy uniqueName="[Table2].[Earnings_Per_Trip]" caption="Earnings_Per_Trip" attribute="1" defaultMemberUniqueName="[Table2].[Earnings_Per_Trip].[All]" allUniqueName="[Table2].[Earnings_Per_Trip].[All]" dimensionUniqueName="[Table2]" displayFolder="" count="0" memberValueDatatype="20" unbalanced="0"/>
    <cacheHierarchy uniqueName="[Table2].[Bonus_Eligible (Y/N)]" caption="Bonus_Eligible (Y/N)" attribute="1" defaultMemberUniqueName="[Table2].[Bonus_Eligible (Y/N)].[All]" allUniqueName="[Table2].[Bonus_Eligible (Y/N)].[All]" dimensionUniqueName="[Table2]" displayFolder="" count="0" memberValueDatatype="130" unbalanced="0"/>
    <cacheHierarchy uniqueName="[Table2].[Deductions]" caption="Deductions" attribute="1" defaultMemberUniqueName="[Table2].[Deductions].[All]" allUniqueName="[Table2].[Deductions].[All]" dimensionUniqueName="[Table2]" displayFolder="" count="0" memberValueDatatype="5" unbalanced="0"/>
    <cacheHierarchy uniqueName="[Table2].[Attendance(Present/Absent)]" caption="Attendance(Present/Absent)" attribute="1" defaultMemberUniqueName="[Table2].[Attendance(Present/Absent)].[All]" allUniqueName="[Table2].[Attendance(Present/Absent)].[All]" dimensionUniqueName="[Table2]" displayFolder="" count="0" memberValueDatatype="130" unbalanced="0"/>
    <cacheHierarchy uniqueName="[Table2].[Zone]" caption="Zone" attribute="1" defaultMemberUniqueName="[Table2].[Zone].[All]" allUniqueName="[Table2].[Zone].[All]" dimensionUniqueName="[Table2]" displayFolder="" count="2" memberValueDatatype="130" unbalanced="0"/>
    <cacheHierarchy uniqueName="[Table2].[Rider's_ID]" caption="Rider's_ID" attribute="1" defaultMemberUniqueName="[Table2].[Rider's_ID].[All]" allUniqueName="[Table2].[Rider's_ID].[All]" dimensionUniqueName="[Table2]" displayFolder="" count="0" memberValueDatatype="130" unbalanced="0"/>
    <cacheHierarchy uniqueName="[Table2].[Rider's_Name]" caption="Rider's_Name" attribute="1" defaultMemberUniqueName="[Table2].[Rider's_Name].[All]" allUniqueName="[Table2].[Rider's_Name].[All]" dimensionUniqueName="[Table2]" displayFolder="" count="0" memberValueDatatype="130" unbalanced="0"/>
    <cacheHierarchy uniqueName="[Table2].[Total_Trips]" caption="Total_Trips" attribute="1" defaultMemberUniqueName="[Table2].[Total_Trips].[All]" allUniqueName="[Table2].[Total_Trips].[All]" dimensionUniqueName="[Table2]" displayFolder="" count="0" memberValueDatatype="20" unbalanced="0"/>
    <cacheHierarchy uniqueName="[Table2].[Total_Earnings]" caption="Total_Earnings" attribute="1" defaultMemberUniqueName="[Table2].[Total_Earnings].[All]" allUniqueName="[Table2].[Total_Earnings].[All]" dimensionUniqueName="[Table2]" displayFolder="" count="0" memberValueDatatype="20" unbalanced="0"/>
    <cacheHierarchy uniqueName="[Table2].[Bonus_Count]" caption="Bonus_Count" attribute="1" defaultMemberUniqueName="[Table2].[Bonus_Count].[All]" allUniqueName="[Table2].[Bonus_Count].[All]" dimensionUniqueName="[Table2]" displayFolder="" count="0" memberValueDatatype="20" unbalanced="0"/>
    <cacheHierarchy uniqueName="[Table2].[Attendance_Rate]" caption="Attendance_Rate" attribute="1" defaultMemberUniqueName="[Table2].[Attendance_Rate].[All]" allUniqueName="[Table2].[Attendance_Rate].[All]" dimensionUniqueName="[Table2]" displayFolder="" count="0" memberValueDatatype="5" unbalanced="0"/>
    <cacheHierarchy uniqueName="[Table2].[Deduction_Total]" caption="Deduction_Total" attribute="1" defaultMemberUniqueName="[Table2].[Deduction_Total].[All]" allUniqueName="[Table2].[Deduction_Total].[All]" dimensionUniqueName="[Table2]" displayFolder="" count="0" memberValueDatatype="5" unbalanced="0"/>
    <cacheHierarchy uniqueName="[Table2].[Net_Payout]" caption="Net_Payout" attribute="1" defaultMemberUniqueName="[Table2].[Net_Payout].[All]" allUniqueName="[Table2].[Net_Payout].[All]" dimensionUniqueName="[Table2]" displayFolder="" count="0" memberValueDatatype="5" unbalanced="0"/>
    <cacheHierarchy uniqueName="[Table2].[Avg_Trips_Per_Working_Day]" caption="Avg_Trips_Per_Working_Day" attribute="1" defaultMemberUniqueName="[Table2].[Avg_Trips_Per_Working_Day].[All]" allUniqueName="[Table2].[Avg_Trips_Per_Working_Day].[All]" dimensionUniqueName="[Table2]" displayFolder="" count="0" memberValueDatatype="5" unbalanced="0"/>
    <cacheHierarchy uniqueName="[Table2].[Avg_Earnings_Per_Day]" caption="Avg_Earnings_Per_Day" attribute="1" defaultMemberUniqueName="[Table2].[Avg_Earnings_Per_Day].[All]" allUniqueName="[Table2].[Avg_Earnings_Per_Day].[All]" dimensionUniqueName="[Table2]" displayFolder="" count="0" memberValueDatatype="5" unbalanced="0"/>
    <cacheHierarchy uniqueName="[Table2].[Higher_Trips_Per_Day]" caption="Higher_Trips_Per_Day" attribute="1" defaultMemberUniqueName="[Table2].[Higher_Trips_Per_Day].[All]" allUniqueName="[Table2].[Higher_Trips_Per_Day].[All]" dimensionUniqueName="[Table2]" displayFolder="" count="0" memberValueDatatype="20" unbalanced="0"/>
    <cacheHierarchy uniqueName="[Table2].[Bonus_Eligibility %]" caption="Bonus_Eligibility %" attribute="1" defaultMemberUniqueName="[Table2].[Bonus_Eligibility %].[All]" allUniqueName="[Table2].[Bonus_Eligibility %].[All]" dimensionUniqueName="[Table2]" displayFolder="" count="0" memberValueDatatype="5" unbalanced="0"/>
    <cacheHierarchy uniqueName="[Table2].[Zone_Lookup]" caption="Zone_Lookup" attribute="1" defaultMemberUniqueName="[Table2].[Zone_Lookup].[All]" allUniqueName="[Table2].[Zone_Lookup].[All]" dimensionUniqueName="[Table2]" displayFolder="" count="0" memberValueDatatype="130" unbalanced="0"/>
    <cacheHierarchy uniqueName="[Measures].[Total Net Payout]" caption="Total Net Payout" measure="1" displayFolder="" measureGroup="Table2" count="0"/>
    <cacheHierarchy uniqueName="[Measures].[Avg Trips Per Rider]" caption="Avg Trips Per Rider" measure="1" displayFolder="" measureGroup="Table2" count="0"/>
    <cacheHierarchy uniqueName="[Measures].[Bonuses Given]" caption="Bonuses Given" measure="1" displayFolder="" measureGroup="Table2" count="0"/>
    <cacheHierarchy uniqueName="[Measures].[Attendance Rate]" caption="Attendance Rate" measure="1" displayFolder="" measureGroup="Table2" count="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ttendance_Rate]" caption="Sum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Count of Attendance_Rate]" caption="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Distinct Count of Attendance_Rate]" caption="Distinct Count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Average of Attendance_Rate]" caption="Average of Attendance_Rate" measure="1" displayFolder="" measureGroup="Table2" count="0" hidden="1">
      <extLst>
        <ext xmlns:x15="http://schemas.microsoft.com/office/spreadsheetml/2010/11/main" uri="{B97F6D7D-B522-45F9-BDA1-12C45D357490}">
          <x15:cacheHierarchy aggregatedColumn="24"/>
        </ext>
      </extLst>
    </cacheHierarchy>
    <cacheHierarchy uniqueName="[Measures].[Sum of Trips_Completed]" caption="Sum of Trips_Completed" measure="1" displayFolder="" measureGroup="Table1" count="0" hidden="1">
      <extLst>
        <ext xmlns:x15="http://schemas.microsoft.com/office/spreadsheetml/2010/11/main" uri="{B97F6D7D-B522-45F9-BDA1-12C45D357490}">
          <x15:cacheHierarchy aggregatedColumn="3"/>
        </ext>
      </extLst>
    </cacheHierarchy>
    <cacheHierarchy uniqueName="[Measures].[Sum of Earnings_Per_Trip]" caption="Sum of Earnings_Per_Trip" measure="1" displayFolder="" measureGroup="Table1" count="0" hidden="1">
      <extLst>
        <ext xmlns:x15="http://schemas.microsoft.com/office/spreadsheetml/2010/11/main" uri="{B97F6D7D-B522-45F9-BDA1-12C45D357490}">
          <x15:cacheHierarchy aggregatedColumn="4"/>
        </ext>
      </extLst>
    </cacheHierarchy>
    <cacheHierarchy uniqueName="[Measures].[Sum of Net_Payout]" caption="Sum of Net_Payout" measure="1" displayFolder="" measureGroup="Table2"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0352139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0A2067-32DB-446B-89EE-CF49DAF56E43}" name="PivotTable10" cacheId="1" applyNumberFormats="0" applyBorderFormats="0" applyFontFormats="0" applyPatternFormats="0" applyAlignmentFormats="0" applyWidthHeightFormats="1" dataCaption="Values" tag="89847c1c-e191-470a-953d-98ea7c408c9e" updatedVersion="8" minRefreshableVersion="3" useAutoFormatting="1" subtotalHiddenItems="1" itemPrintTitles="1" mergeItem="1" createdVersion="5" indent="0" outline="1" outlineData="1" multipleFieldFilters="0" chartFormat="2" rowHeaderCaption="Week">
  <location ref="P31:Q42" firstHeaderRow="1"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6">
    <format dxfId="5">
      <pivotArea type="all" dataOnly="0" outline="0" fieldPosition="0"/>
    </format>
    <format dxfId="4">
      <pivotArea outline="0" collapsedLevelsAreSubtotals="1" fieldPosition="0"/>
    </format>
    <format dxfId="3">
      <pivotArea dataOnly="0" labelOnly="1" grandRow="1" outline="0" fieldPosition="0"/>
    </format>
    <format dxfId="2">
      <pivotArea type="all" dataOnly="0" outline="0" fieldPosition="0"/>
    </format>
    <format dxfId="1">
      <pivotArea outline="0" collapsedLevelsAreSubtotals="1" fieldPosition="0"/>
    </format>
    <format dxfId="0">
      <pivotArea dataOnly="0" labelOnly="1" grandRow="1" outline="0" fieldPosition="0"/>
    </format>
  </format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4"/>
          </reference>
        </references>
      </pivotArea>
    </chartFormat>
    <chartFormat chart="1" format="5">
      <pivotArea type="data" outline="0" fieldPosition="0">
        <references count="2">
          <reference field="4294967294" count="1" selected="0">
            <x v="0"/>
          </reference>
          <reference field="0" count="1" selected="0">
            <x v="5"/>
          </reference>
        </references>
      </pivotArea>
    </chartFormat>
    <chartFormat chart="1" format="6">
      <pivotArea type="data" outline="0" fieldPosition="0">
        <references count="2">
          <reference field="4294967294" count="1" selected="0">
            <x v="0"/>
          </reference>
          <reference field="0" count="1" selected="0">
            <x v="6"/>
          </reference>
        </references>
      </pivotArea>
    </chartFormat>
    <chartFormat chart="1" format="7">
      <pivotArea type="data" outline="0" fieldPosition="0">
        <references count="2">
          <reference field="4294967294" count="1" selected="0">
            <x v="0"/>
          </reference>
          <reference field="0" count="1" selected="0">
            <x v="7"/>
          </reference>
        </references>
      </pivotArea>
    </chartFormat>
    <chartFormat chart="1" format="8">
      <pivotArea type="data" outline="0" fieldPosition="0">
        <references count="2">
          <reference field="4294967294" count="1" selected="0">
            <x v="0"/>
          </reference>
          <reference field="0" count="1" selected="0">
            <x v="8"/>
          </reference>
        </references>
      </pivotArea>
    </chartFormat>
    <chartFormat chart="1" format="9">
      <pivotArea type="data" outline="0" fieldPosition="0">
        <references count="2">
          <reference field="4294967294" count="1" selected="0">
            <x v="0"/>
          </reference>
          <reference field="0" count="1" selected="0">
            <x v="9"/>
          </reference>
        </references>
      </pivotArea>
    </chartFormat>
    <chartFormat chart="1" format="10">
      <pivotArea type="data" outline="0" fieldPosition="0">
        <references count="2">
          <reference field="4294967294" count="1" selected="0">
            <x v="0"/>
          </reference>
          <reference field="0"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ttendance_Rate"/>
    <pivotHierarchy dragToData="1" caption="Trips"/>
    <pivotHierarchy dragToData="1" caption="Earnings "/>
    <pivotHierarchy dragToData="1"/>
  </pivotHierarchies>
  <pivotTableStyleInfo name="PivotStyleLight15"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C4DBB0-2161-4D02-AD48-E00AA22BEC3D}" name="PivotTable9" cacheId="5" applyNumberFormats="0" applyBorderFormats="0" applyFontFormats="0" applyPatternFormats="0" applyAlignmentFormats="0" applyWidthHeightFormats="1" dataCaption="Values" tag="85284567-292d-4c44-8ff4-e93571868fe9" updatedVersion="8" minRefreshableVersion="3" useAutoFormatting="1" subtotalHiddenItems="1" itemPrintTitles="1" mergeItem="1" createdVersion="5" indent="0" outline="1" outlineData="1" multipleFieldFilters="0" chartFormat="2" rowHeaderCaption="Week">
  <location ref="R32:S3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i>
    <i>
      <x v="4"/>
    </i>
    <i>
      <x v="3"/>
    </i>
    <i t="grand">
      <x/>
    </i>
  </rowItems>
  <colItems count="1">
    <i/>
  </colItems>
  <dataFields count="1">
    <dataField fld="1" subtotal="count" baseField="0" baseItem="0"/>
  </dataFields>
  <formats count="6">
    <format dxfId="11">
      <pivotArea type="all" dataOnly="0" outline="0" fieldPosition="0"/>
    </format>
    <format dxfId="10">
      <pivotArea outline="0" collapsedLevelsAreSubtotals="1" fieldPosition="0"/>
    </format>
    <format dxfId="9">
      <pivotArea dataOnly="0" labelOnly="1" grandRow="1" outline="0" fieldPosition="0"/>
    </format>
    <format dxfId="8">
      <pivotArea type="all" dataOnly="0" outline="0" fieldPosition="0"/>
    </format>
    <format dxfId="7">
      <pivotArea outline="0" collapsedLevelsAreSubtotals="1" fieldPosition="0"/>
    </format>
    <format dxfId="6">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ips"/>
    <pivotHierarchy dragToData="1" caption="Earnings "/>
    <pivotHierarchy dragToData="1"/>
  </pivotHierarchies>
  <pivotTableStyleInfo name="PivotStyleLight15"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E287EF-E678-43F6-8353-017023154856}" name="PivotTable5" cacheId="2" applyNumberFormats="0" applyBorderFormats="0" applyFontFormats="0" applyPatternFormats="0" applyAlignmentFormats="0" applyWidthHeightFormats="1" dataCaption="Values" tag="bcba4c42-e6d9-4e8f-8f1c-fc13a15d61eb" updatedVersion="8" minRefreshableVersion="3" useAutoFormatting="1" subtotalHiddenItems="1" itemPrintTitles="1" mergeItem="1" createdVersion="5" indent="0" outline="1" outlineData="1" multipleFieldFilters="0" rowHeaderCaption="Week">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9">
    <format dxfId="30">
      <pivotArea type="all" dataOnly="0" outline="0" fieldPosition="0"/>
    </format>
    <format dxfId="29">
      <pivotArea outline="0" collapsedLevelsAreSubtotals="1" fieldPosition="0"/>
    </format>
    <format dxfId="28">
      <pivotArea dataOnly="0" labelOnly="1" grandRow="1" outline="0" fieldPosition="0"/>
    </format>
    <format dxfId="27">
      <pivotArea type="all" dataOnly="0" outline="0" fieldPosition="0"/>
    </format>
    <format dxfId="26">
      <pivotArea outline="0" collapsedLevelsAreSubtotals="1" fieldPosition="0"/>
    </format>
    <format dxfId="25">
      <pivotArea dataOnly="0" labelOnly="1" grandRow="1" outline="0" fieldPosition="0"/>
    </format>
    <format dxfId="24">
      <pivotArea outline="0" collapsedLevelsAreSubtotals="1" fieldPosition="0"/>
    </format>
    <format dxfId="23">
      <pivotArea dataOnly="0" labelOnly="1" outline="0" axis="axisValues" fieldPosition="0"/>
    </format>
    <format dxfId="22">
      <pivotArea dataOnly="0" labelOnly="1" outline="0" axis="axisValues"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ips"/>
    <pivotHierarchy dragToData="1" caption="Earnings Per Trip"/>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04CF30-03DB-432C-979E-C2D24110DFC3}" name="PivotTable7" cacheId="3" applyNumberFormats="0" applyBorderFormats="0" applyFontFormats="0" applyPatternFormats="0" applyAlignmentFormats="0" applyWidthHeightFormats="1" dataCaption="Values" tag="9c124c0b-e7c7-411d-828a-2919745fe81f" updatedVersion="8" minRefreshableVersion="3" subtotalHiddenItems="1" itemPrintTitles="1" createdVersion="5" indent="0" outline="1" outlineData="1" multipleFieldFilters="0" rowHeaderCaption="Week">
  <location ref="I6:I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8">
    <format dxfId="48">
      <pivotArea type="all" dataOnly="0" outline="0" fieldPosition="0"/>
    </format>
    <format dxfId="47">
      <pivotArea outline="0" collapsedLevelsAreSubtotals="1" fieldPosition="0"/>
    </format>
    <format dxfId="46">
      <pivotArea dataOnly="0" labelOnly="1" grandRow="1" outline="0" fieldPosition="0"/>
    </format>
    <format dxfId="45">
      <pivotArea type="all" dataOnly="0" outline="0" fieldPosition="0"/>
    </format>
    <format dxfId="44">
      <pivotArea outline="0" collapsedLevelsAreSubtotals="1" fieldPosition="0"/>
    </format>
    <format dxfId="43">
      <pivotArea dataOnly="0" labelOnly="1" grandRow="1" outline="0" fieldPosition="0"/>
    </format>
    <format dxfId="42">
      <pivotArea dataOnly="0" labelOnly="1" outline="0" axis="axisValues" fieldPosition="0"/>
    </format>
    <format dxfId="41">
      <pivotArea outline="0" collapsedLevelsAreSubtotals="1"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ips"/>
    <pivotHierarchy dragToData="1" caption="Earnings Per Trip"/>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362F6-AA4A-4F9B-ADFD-3E86DC96D39F}" name="PivotTable6" cacheId="6" applyNumberFormats="0" applyBorderFormats="0" applyFontFormats="0" applyPatternFormats="0" applyAlignmentFormats="0" applyWidthHeightFormats="1" dataCaption="Values" tag="4ef8d403-b2a6-408b-865e-7993d529dd22" updatedVersion="8" minRefreshableVersion="3" useAutoFormatting="1" subtotalHiddenItems="1" itemPrintTitles="1" mergeItem="1" createdVersion="5" indent="0" outline="1" outlineData="1" multipleFieldFilters="0" rowHeaderCaption="Week">
  <location ref="K6:K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8">
    <format dxfId="66">
      <pivotArea type="all" dataOnly="0" outline="0" fieldPosition="0"/>
    </format>
    <format dxfId="65">
      <pivotArea outline="0" collapsedLevelsAreSubtotals="1" fieldPosition="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ips"/>
    <pivotHierarchy dragToData="1" caption="Earnings Per Trip"/>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1BA1C-D0D2-4D55-B957-10EFD38319EA}" name="PivotTable4" cacheId="0" applyNumberFormats="0" applyBorderFormats="0" applyFontFormats="0" applyPatternFormats="0" applyAlignmentFormats="0" applyWidthHeightFormats="1" dataCaption="Values" tag="a606453f-19c6-4eeb-b0f8-1c868b0ff953" updatedVersion="8" minRefreshableVersion="3" useAutoFormatting="1" subtotalHiddenItems="1" itemPrintTitles="1" mergeItem="1" createdVersion="5" indent="0" outline="1" outlineData="1" multipleFieldFilters="0" chartFormat="1" rowHeaderCaption="Week">
  <location ref="I24:K30" firstHeaderRow="0" firstDataRow="1" firstDataCol="1"/>
  <pivotFields count="5">
    <pivotField axis="axisRow" allDrilled="1" showAll="0" defaultSubtotal="0">
      <items count="5">
        <item x="0" e="0"/>
        <item x="1" e="0"/>
        <item x="2" e="0"/>
        <item x="3" e="0"/>
        <item x="4" e="0"/>
      </items>
    </pivotField>
    <pivotField axis="axisRow" allDrilled="1" showAll="0" dataSourceSort="1" defaultSubtotal="0" defaultAttributeDrillState="1">
      <items count="10">
        <item x="0"/>
        <item x="1"/>
        <item x="2"/>
        <item x="3"/>
        <item x="4"/>
        <item x="5"/>
        <item x="6"/>
        <item x="7"/>
        <item x="8"/>
        <item x="9"/>
      </items>
    </pivotField>
    <pivotField dataField="1" showAll="0" defaultSubtotal="0"/>
    <pivotField dataField="1" showAll="0" defaultSubtotal="0"/>
    <pivotField allDrilled="1" subtotalTop="0" showAll="0" dataSourceSort="1" defaultSubtotal="0" defaultAttributeDrillState="1"/>
  </pivotFields>
  <rowFields count="2">
    <field x="0"/>
    <field x="1"/>
  </rowFields>
  <rowItems count="6">
    <i>
      <x/>
    </i>
    <i>
      <x v="1"/>
    </i>
    <i>
      <x v="2"/>
    </i>
    <i>
      <x v="3"/>
    </i>
    <i>
      <x v="4"/>
    </i>
    <i t="grand">
      <x/>
    </i>
  </rowItems>
  <colFields count="1">
    <field x="-2"/>
  </colFields>
  <colItems count="2">
    <i>
      <x/>
    </i>
    <i i="1">
      <x v="1"/>
    </i>
  </colItems>
  <dataFields count="2">
    <dataField name="Trips" fld="2" baseField="0" baseItem="0"/>
    <dataField name="Earnings " fld="3" baseField="0" baseItem="0"/>
  </dataFields>
  <formats count="37">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fieldPosition="0">
        <references count="1">
          <reference field="4294967294" count="2">
            <x v="0"/>
            <x v="1"/>
          </reference>
        </references>
      </pivotArea>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fieldPosition="0">
        <references count="1">
          <reference field="4294967294" count="2">
            <x v="0"/>
            <x v="1"/>
          </reference>
        </references>
      </pivotArea>
    </format>
    <format dxfId="91">
      <pivotArea field="0" type="button" dataOnly="0" labelOnly="1" outline="0" axis="axisRow" fieldPosition="0"/>
    </format>
    <format dxfId="90">
      <pivotArea dataOnly="0" labelOnly="1" outline="0" fieldPosition="0">
        <references count="1">
          <reference field="4294967294" count="2">
            <x v="0"/>
            <x v="1"/>
          </reference>
        </references>
      </pivotArea>
    </format>
    <format dxfId="89">
      <pivotArea collapsedLevelsAreSubtotals="1" fieldPosition="0">
        <references count="1">
          <reference field="0" count="1">
            <x v="0"/>
          </reference>
        </references>
      </pivotArea>
    </format>
    <format dxfId="88">
      <pivotArea collapsedLevelsAreSubtotals="1" fieldPosition="0">
        <references count="1">
          <reference field="0" count="1">
            <x v="1"/>
          </reference>
        </references>
      </pivotArea>
    </format>
    <format dxfId="87">
      <pivotArea collapsedLevelsAreSubtotals="1" fieldPosition="0">
        <references count="1">
          <reference field="0" count="1">
            <x v="2"/>
          </reference>
        </references>
      </pivotArea>
    </format>
    <format dxfId="86">
      <pivotArea collapsedLevelsAreSubtotals="1" fieldPosition="0">
        <references count="1">
          <reference field="0" count="1">
            <x v="3"/>
          </reference>
        </references>
      </pivotArea>
    </format>
    <format dxfId="85">
      <pivotArea collapsedLevelsAreSubtotals="1" fieldPosition="0">
        <references count="1">
          <reference field="0" count="1">
            <x v="4"/>
          </reference>
        </references>
      </pivotArea>
    </format>
    <format dxfId="84">
      <pivotArea dataOnly="0" labelOnly="1" fieldPosition="0">
        <references count="1">
          <reference field="0" count="0"/>
        </references>
      </pivotArea>
    </format>
    <format dxfId="83">
      <pivotArea type="all" dataOnly="0" outline="0" fieldPosition="0"/>
    </format>
    <format dxfId="82">
      <pivotArea field="0" type="button" dataOnly="0" labelOnly="1" outline="0" axis="axisRow" fieldPosition="0"/>
    </format>
    <format dxfId="81">
      <pivotArea dataOnly="0" labelOnly="1" outline="0" fieldPosition="0">
        <references count="1">
          <reference field="4294967294" count="2">
            <x v="0"/>
            <x v="1"/>
          </reference>
        </references>
      </pivotArea>
    </format>
    <format dxfId="80">
      <pivotArea grandRow="1" outline="0" collapsedLevelsAreSubtotals="1" fieldPosition="0"/>
    </format>
    <format dxfId="79">
      <pivotArea dataOnly="0" labelOnly="1" grandRow="1" outline="0" fieldPosition="0"/>
    </format>
    <format dxfId="78">
      <pivotArea field="0" type="button" dataOnly="0" labelOnly="1" outline="0" axis="axisRow" fieldPosition="0"/>
    </format>
    <format dxfId="77">
      <pivotArea dataOnly="0" labelOnly="1" outline="0" fieldPosition="0">
        <references count="1">
          <reference field="4294967294" count="2">
            <x v="0"/>
            <x v="1"/>
          </reference>
        </references>
      </pivotArea>
    </format>
    <format dxfId="76">
      <pivotArea grandRow="1" outline="0" collapsedLevelsAreSubtotals="1" fieldPosition="0"/>
    </format>
    <format dxfId="75">
      <pivotArea dataOnly="0" labelOnly="1" grandRow="1" outline="0"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fieldPosition="0">
        <references count="1">
          <reference field="4294967294" count="2">
            <x v="0"/>
            <x v="1"/>
          </reference>
        </references>
      </pivotArea>
    </format>
    <format dxfId="68">
      <pivotArea dataOnly="0" labelOnly="1" fieldPosition="0">
        <references count="1">
          <reference field="0" count="1">
            <x v="4"/>
          </reference>
        </references>
      </pivotArea>
    </format>
    <format dxfId="6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ips"/>
    <pivotHierarchy dragToData="1" caption="Earnings "/>
    <pivotHierarchy dragToData="1"/>
  </pivotHierarchies>
  <pivotTableStyleInfo showRowHeaders="1" showColHeaders="1" showRowStripes="0" showColStripes="0" showLastColumn="1"/>
  <rowHierarchiesUsage count="2">
    <rowHierarchyUsage hierarchyUsage="9"/>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8498E5-F7A0-4AF0-8EEE-29A60DAA2355}" name="PivotTable8" cacheId="4" applyNumberFormats="0" applyBorderFormats="0" applyFontFormats="0" applyPatternFormats="0" applyAlignmentFormats="0" applyWidthHeightFormats="1" dataCaption="Values" tag="53d84086-2a17-44b7-9564-0931501efde7" updatedVersion="8" minRefreshableVersion="3" useAutoFormatting="1" subtotalHiddenItems="1" itemPrintTitles="1" mergeItem="1" createdVersion="5" indent="0" outline="1" outlineData="1" multipleFieldFilters="0" rowHeaderCaption="Week">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8">
    <format dxfId="121">
      <pivotArea type="all" dataOnly="0" outline="0" fieldPosition="0"/>
    </format>
    <format dxfId="120">
      <pivotArea outline="0" collapsedLevelsAreSubtotals="1" fieldPosition="0"/>
    </format>
    <format dxfId="119">
      <pivotArea dataOnly="0" labelOnly="1" grandRow="1" outline="0" fieldPosition="0"/>
    </format>
    <format dxfId="118">
      <pivotArea type="all" dataOnly="0" outline="0" fieldPosition="0"/>
    </format>
    <format dxfId="117">
      <pivotArea outline="0" collapsedLevelsAreSubtotals="1" fieldPosition="0"/>
    </format>
    <format dxfId="116">
      <pivotArea dataOnly="0" labelOnly="1" grandRow="1" outline="0" fieldPosition="0"/>
    </format>
    <format dxfId="115">
      <pivotArea dataOnly="0" labelOnly="1" outline="0" axis="axisValues" fieldPosition="0"/>
    </format>
    <format dxfId="114">
      <pivotArea outline="0" collapsedLevelsAreSubtotals="1"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rips"/>
    <pivotHierarchy dragToData="1" caption="Earnings Per Trip"/>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9A90907C-5683-4E58-A216-BD242DD4C9CD}" sourceName="[Table2].[Zone]">
  <pivotTables>
    <pivotTable tabId="3" name="PivotTable4"/>
    <pivotTable tabId="3" name="PivotTable10"/>
    <pivotTable tabId="3" name="PivotTable5"/>
    <pivotTable tabId="3" name="PivotTable7"/>
    <pivotTable tabId="3" name="PivotTable8"/>
    <pivotTable tabId="3" name="PivotTable9"/>
    <pivotTable tabId="3" name="PivotTable6"/>
  </pivotTables>
  <data>
    <olap pivotCacheId="1035213965">
      <levels count="2">
        <level uniqueName="[Table2].[Zone].[(All)]" sourceCaption="(All)" count="0"/>
        <level uniqueName="[Table2].[Zone].[Zone]" sourceCaption="Zone" count="6">
          <ranges>
            <range startItem="0">
              <i n="[Table2].[Zone].&amp;[Dwarka]" c="Dwarka"/>
              <i n="[Table2].[Zone].&amp;[Janakpuri]" c="Janakpuri"/>
              <i n="[Table2].[Zone].&amp;[Karol Bagh]" c="Karol Bagh"/>
              <i n="[Table2].[Zone].&amp;[Pitampura]" c="Pitampura"/>
              <i n="[Table2].[Zone].&amp;[Punjabi Bagh]" c="Punjabi Bagh"/>
              <i n="[Table2].[Zone].&amp;[Rohini]" c="Rohini"/>
            </range>
          </ranges>
        </level>
      </levels>
      <selections count="1">
        <selection n="[Table2].[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B4D94E85-851B-4150-B282-681B00DA11B0}" cache="Slicer_Zone" caption="Zone" columnCount="2" level="1"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2AAEF3-8535-4C7D-88B0-11A47DECC1B7}" name="Table1" displayName="Table1" ref="A1:J61" totalsRowShown="0" headerRowDxfId="161" dataDxfId="159" headerRowBorderDxfId="160" tableBorderDxfId="158" totalsRowBorderDxfId="157">
  <autoFilter ref="A1:J61" xr:uid="{D02AAEF3-8535-4C7D-88B0-11A47DECC1B7}"/>
  <tableColumns count="10">
    <tableColumn id="1" xr3:uid="{90D8F775-7A1D-46F3-90C0-EA982037519E}" name="Rider_ID" dataDxfId="156"/>
    <tableColumn id="2" xr3:uid="{2E2E71E6-671D-442F-B21E-D5A94E387E09}" name="Rider_Name" dataDxfId="155"/>
    <tableColumn id="3" xr3:uid="{BA7BC99B-EA6B-4FAA-ABAC-7C836488CE0A}" name="Date" dataDxfId="154"/>
    <tableColumn id="4" xr3:uid="{8E9E8824-240B-4249-A9A7-864BC526A6FC}" name="Trips_Completed" dataDxfId="153"/>
    <tableColumn id="5" xr3:uid="{81A23FF5-1A0E-4A1A-AB3D-7714BCA2174B}" name="Earnings_Per_Trip" dataDxfId="152"/>
    <tableColumn id="6" xr3:uid="{399B1648-F6F4-4C47-9923-216D921A9083}" name="Bonus_Eligible (Y/N)" dataDxfId="151"/>
    <tableColumn id="7" xr3:uid="{4304E02B-2988-44D2-A058-8D8851E59089}" name="Deductions" dataDxfId="150"/>
    <tableColumn id="8" xr3:uid="{F9E23D85-C92D-4BBF-B6B8-6B299529563F}" name="Attendance(Present/Absent)" dataDxfId="149"/>
    <tableColumn id="9" xr3:uid="{C73FBA52-5D0D-4B9D-B3F3-B54BF3D71E82}" name="Zone" dataDxfId="148"/>
    <tableColumn id="10" xr3:uid="{80559EAB-67D2-453C-B8A2-06E7422C977E}" name="Week" dataDxfId="147">
      <calculatedColumnFormula>"Week "&amp;WEEKNUM(C2)-WEEKNUM(MIN($C$2:$C$61))+1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5C6323-9FD4-477B-A5E1-A82A6044C993}" name="Table2" displayName="Table2" ref="A1:V61" totalsRowShown="0" headerRowDxfId="146" dataDxfId="145" tableBorderDxfId="144">
  <autoFilter ref="A1:V61" xr:uid="{B55C6323-9FD4-477B-A5E1-A82A6044C993}"/>
  <tableColumns count="22">
    <tableColumn id="1" xr3:uid="{B7062573-E7F6-44E5-9647-59F7162FB711}" name="Rider_ID" dataDxfId="143"/>
    <tableColumn id="2" xr3:uid="{53628717-5F0D-411F-8A87-088AC9BFB50D}" name="Rider_Name" dataDxfId="142"/>
    <tableColumn id="3" xr3:uid="{00C439FB-47AA-4B49-A818-7D1D5D2EAA62}" name="Date" dataDxfId="141"/>
    <tableColumn id="4" xr3:uid="{5E515030-CAFE-4BA5-BE14-1FCC82218198}" name="Trips_Completed" dataDxfId="140"/>
    <tableColumn id="5" xr3:uid="{BE1FDBC1-70B0-41B1-944F-F9EE8AED4DCE}" name="Earnings_Per_Trip" dataDxfId="139"/>
    <tableColumn id="6" xr3:uid="{BC9CB42A-F033-4F12-8269-C36AD4A5CDDD}" name="Bonus_Eligible (Y/N)" dataDxfId="138"/>
    <tableColumn id="7" xr3:uid="{0F74613D-5106-489B-8E16-C42B885B363F}" name="Deductions" dataDxfId="137"/>
    <tableColumn id="8" xr3:uid="{459C6328-34D9-4A68-B7CA-F0E0464F7EAF}" name="Attendance(Present/Absent)" dataDxfId="136"/>
    <tableColumn id="9" xr3:uid="{617F5A2C-3792-4ACA-82E9-883F4B40212A}" name="Zone" dataDxfId="135"/>
    <tableColumn id="10" xr3:uid="{7D015CA0-3D98-44F3-A6C6-6C9AFBF74538}" name="Rider's_ID" dataDxfId="134">
      <calculatedColumnFormula>VLOOKUP(Raw_Data!A2,Raw_Data!A2:I61,1)</calculatedColumnFormula>
    </tableColumn>
    <tableColumn id="11" xr3:uid="{3BAF2EBF-3D1A-4E31-89DF-ED77015B9415}" name="Rider's_Name" dataDxfId="133">
      <calculatedColumnFormula>_xlfn.XLOOKUP(A2, Raw_Data!A:A, Raw_Data!B:B)</calculatedColumnFormula>
    </tableColumn>
    <tableColumn id="12" xr3:uid="{A9858AD5-5697-4DB3-8D9F-AC74DDA296A4}" name="Total_Trips" dataDxfId="132">
      <calculatedColumnFormula>SUMIF(Raw_Data!A:A,Raw_Data!A2,Raw_Data!D:D)</calculatedColumnFormula>
    </tableColumn>
    <tableColumn id="13" xr3:uid="{F0903A91-9C2F-4B6F-8815-25E8B6E52696}" name="Total_Earnings" dataDxfId="131">
      <calculatedColumnFormula array="1">SUMPRODUCT((Raw_Data!A$2:A$61=A2)*(Raw_Data!D$2:D$61)*(Raw_Data!E$2:E$61))</calculatedColumnFormula>
    </tableColumn>
    <tableColumn id="14" xr3:uid="{71978A15-DE55-44A5-BC9B-4589A2EF5D90}" name="Bonus_Count" dataDxfId="130">
      <calculatedColumnFormula>COUNTIFS(Raw_Data!A:A, A2, Raw_Data!F:F, "Y")</calculatedColumnFormula>
    </tableColumn>
    <tableColumn id="15" xr3:uid="{610140BA-2007-43C2-9DB8-C2A0A9EB99B3}" name="Attendance_Rate" dataDxfId="129" dataCellStyle="Percent">
      <calculatedColumnFormula>COUNTIFS(Raw_Data!A:A,A2,Raw_Data!H:H,"Present")/COUNTIF(Raw_Data!A:A,A2)</calculatedColumnFormula>
    </tableColumn>
    <tableColumn id="16" xr3:uid="{96B0B0EE-EC42-4C92-8817-87E4B7225EA3}" name="Deduction_Total" dataDxfId="128">
      <calculatedColumnFormula>SUMIF(Raw_Data!A:A, A2, Raw_Data!G:G)</calculatedColumnFormula>
    </tableColumn>
    <tableColumn id="17" xr3:uid="{5ED4B69A-C4E4-4146-9973-E3A265995499}" name="Net_Payout" dataDxfId="127">
      <calculatedColumnFormula>M2-P2</calculatedColumnFormula>
    </tableColumn>
    <tableColumn id="18" xr3:uid="{BFD1DB92-D932-441C-B901-053DC0DA4EA7}" name="Avg_Trips_Per_Working_Day" dataDxfId="126">
      <calculatedColumnFormula>SUMIF(Raw_Data!A:A,Raw_Data!A2,Raw_Data!D:D)/COUNTIFS(Raw_Data!A:A,Raw_Data!A2,Raw_Data!H:H,"Present")</calculatedColumnFormula>
    </tableColumn>
    <tableColumn id="19" xr3:uid="{3F21F7B5-81FD-404D-9DCA-B70FDEC60B01}" name="Avg_Earnings_Per_Day" dataDxfId="125">
      <calculatedColumnFormula>Table2[[#This Row],[Total_Earnings]]/COUNTIFS(Raw_Data!A:A,Raw_Data!A2,Raw_Data!H:H,"Present")</calculatedColumnFormula>
    </tableColumn>
    <tableColumn id="20" xr3:uid="{4523CC0B-63C4-4369-A069-CE630E72859C}" name="Higher_Trips_Per_Day" dataDxfId="124">
      <calculatedColumnFormula>_xlfn.MAXIFS(Raw_Data!D:D,Raw_Data!A:A,A2)</calculatedColumnFormula>
    </tableColumn>
    <tableColumn id="21" xr3:uid="{4BB495A2-90ED-47A1-8FC4-CF00DD3EF328}" name="Bonus_Eligibility %" dataDxfId="123" dataCellStyle="Percent">
      <calculatedColumnFormula>COUNTIFS(Raw_Data!A:A,A2,Raw_Data!F:F,"Y")
/
COUNTIF(Raw_Data!A:A,A2)</calculatedColumnFormula>
    </tableColumn>
    <tableColumn id="22" xr3:uid="{2654F070-0D98-41E7-8ABC-214C8300DB17}" name="Zone_Lookup" dataDxfId="122">
      <calculatedColumnFormula>_xlfn.XLOOKUP(A2,Raw_Data!A:A,Raw_Data!I:I)</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E76A-6CB1-4007-8BA4-20EA17463FB9}">
  <sheetPr codeName="Sheet1"/>
  <dimension ref="A1:J61"/>
  <sheetViews>
    <sheetView showGridLines="0" tabSelected="1" workbookViewId="0">
      <selection activeCell="D32" sqref="D32"/>
    </sheetView>
  </sheetViews>
  <sheetFormatPr defaultRowHeight="14.6" x14ac:dyDescent="0.4"/>
  <cols>
    <col min="1" max="1" width="13.07421875" bestFit="1" customWidth="1"/>
    <col min="2" max="2" width="16.4609375" bestFit="1" customWidth="1"/>
    <col min="3" max="3" width="10.07421875" bestFit="1" customWidth="1"/>
    <col min="4" max="4" width="20.69140625" bestFit="1" customWidth="1"/>
    <col min="5" max="5" width="21.765625" bestFit="1" customWidth="1"/>
    <col min="6" max="6" width="23.84375" style="1" bestFit="1" customWidth="1"/>
    <col min="7" max="7" width="15.4609375" bestFit="1" customWidth="1"/>
    <col min="8" max="8" width="31.53515625" bestFit="1" customWidth="1"/>
    <col min="9" max="9" width="11.3828125" bestFit="1" customWidth="1"/>
    <col min="10" max="10" width="10.3828125" bestFit="1" customWidth="1"/>
  </cols>
  <sheetData>
    <row r="1" spans="1:10" ht="15.9" x14ac:dyDescent="0.4">
      <c r="A1" s="42" t="s">
        <v>0</v>
      </c>
      <c r="B1" s="43" t="s">
        <v>1</v>
      </c>
      <c r="C1" s="43" t="s">
        <v>2</v>
      </c>
      <c r="D1" s="43" t="s">
        <v>3</v>
      </c>
      <c r="E1" s="43" t="s">
        <v>4</v>
      </c>
      <c r="F1" s="44" t="s">
        <v>5</v>
      </c>
      <c r="G1" s="43" t="s">
        <v>6</v>
      </c>
      <c r="H1" s="43" t="s">
        <v>7</v>
      </c>
      <c r="I1" s="43" t="s">
        <v>8</v>
      </c>
      <c r="J1" s="45" t="s">
        <v>55</v>
      </c>
    </row>
    <row r="2" spans="1:10" x14ac:dyDescent="0.4">
      <c r="A2" s="39" t="s">
        <v>9</v>
      </c>
      <c r="B2" s="7" t="s">
        <v>10</v>
      </c>
      <c r="C2" s="9">
        <v>46163</v>
      </c>
      <c r="D2" s="7">
        <v>7</v>
      </c>
      <c r="E2" s="7">
        <v>111</v>
      </c>
      <c r="F2" s="8" t="s">
        <v>11</v>
      </c>
      <c r="G2" s="7">
        <v>20.93</v>
      </c>
      <c r="H2" s="7" t="s">
        <v>12</v>
      </c>
      <c r="I2" s="7" t="s">
        <v>13</v>
      </c>
      <c r="J2" s="41" t="str">
        <f>"Week "&amp;WEEKNUM(C2)-WEEKNUM(MIN($C$2:$C$61))+1</f>
        <v>Week 4</v>
      </c>
    </row>
    <row r="3" spans="1:10" x14ac:dyDescent="0.4">
      <c r="A3" s="39" t="s">
        <v>14</v>
      </c>
      <c r="B3" s="7" t="s">
        <v>15</v>
      </c>
      <c r="C3" s="9">
        <v>46164</v>
      </c>
      <c r="D3" s="7">
        <v>11</v>
      </c>
      <c r="E3" s="7">
        <v>91</v>
      </c>
      <c r="F3" s="8" t="s">
        <v>16</v>
      </c>
      <c r="G3" s="7">
        <v>4.7699999999999996</v>
      </c>
      <c r="H3" s="7" t="s">
        <v>12</v>
      </c>
      <c r="I3" s="7" t="s">
        <v>13</v>
      </c>
      <c r="J3" s="41" t="str">
        <f t="shared" ref="J3:J61" si="0">"Week "&amp;WEEKNUM(C3)-WEEKNUM(MIN($C$2:$C$61))+1</f>
        <v>Week 4</v>
      </c>
    </row>
    <row r="4" spans="1:10" x14ac:dyDescent="0.4">
      <c r="A4" s="39" t="s">
        <v>17</v>
      </c>
      <c r="B4" s="7" t="s">
        <v>18</v>
      </c>
      <c r="C4" s="9">
        <v>46149</v>
      </c>
      <c r="D4" s="7">
        <v>12</v>
      </c>
      <c r="E4" s="7">
        <v>83</v>
      </c>
      <c r="F4" s="8" t="s">
        <v>11</v>
      </c>
      <c r="G4" s="7">
        <v>107.4</v>
      </c>
      <c r="H4" s="7" t="s">
        <v>12</v>
      </c>
      <c r="I4" s="7" t="s">
        <v>19</v>
      </c>
      <c r="J4" s="41" t="str">
        <f t="shared" si="0"/>
        <v>Week 2</v>
      </c>
    </row>
    <row r="5" spans="1:10" x14ac:dyDescent="0.4">
      <c r="A5" s="39" t="s">
        <v>20</v>
      </c>
      <c r="B5" s="7" t="s">
        <v>21</v>
      </c>
      <c r="C5" s="9">
        <v>46160</v>
      </c>
      <c r="D5" s="7">
        <v>10</v>
      </c>
      <c r="E5" s="7">
        <v>115</v>
      </c>
      <c r="F5" s="8" t="s">
        <v>11</v>
      </c>
      <c r="G5" s="7">
        <v>113.82</v>
      </c>
      <c r="H5" s="7" t="s">
        <v>12</v>
      </c>
      <c r="I5" s="7" t="s">
        <v>22</v>
      </c>
      <c r="J5" s="41" t="str">
        <f t="shared" si="0"/>
        <v>Week 4</v>
      </c>
    </row>
    <row r="6" spans="1:10" x14ac:dyDescent="0.4">
      <c r="A6" s="39" t="s">
        <v>23</v>
      </c>
      <c r="B6" s="7" t="s">
        <v>24</v>
      </c>
      <c r="C6" s="9">
        <v>46165</v>
      </c>
      <c r="D6" s="7">
        <v>7</v>
      </c>
      <c r="E6" s="7">
        <v>99</v>
      </c>
      <c r="F6" s="8" t="s">
        <v>11</v>
      </c>
      <c r="G6" s="7">
        <v>143.58000000000001</v>
      </c>
      <c r="H6" s="7" t="s">
        <v>12</v>
      </c>
      <c r="I6" s="7" t="s">
        <v>25</v>
      </c>
      <c r="J6" s="41" t="str">
        <f t="shared" si="0"/>
        <v>Week 4</v>
      </c>
    </row>
    <row r="7" spans="1:10" x14ac:dyDescent="0.4">
      <c r="A7" s="39" t="s">
        <v>26</v>
      </c>
      <c r="B7" s="7" t="s">
        <v>27</v>
      </c>
      <c r="C7" s="9">
        <v>46146</v>
      </c>
      <c r="D7" s="7">
        <v>4</v>
      </c>
      <c r="E7" s="7">
        <v>125</v>
      </c>
      <c r="F7" s="8" t="s">
        <v>16</v>
      </c>
      <c r="G7" s="7">
        <v>90.56</v>
      </c>
      <c r="H7" s="7" t="s">
        <v>12</v>
      </c>
      <c r="I7" s="7" t="s">
        <v>13</v>
      </c>
      <c r="J7" s="41" t="str">
        <f t="shared" si="0"/>
        <v>Week 2</v>
      </c>
    </row>
    <row r="8" spans="1:10" x14ac:dyDescent="0.4">
      <c r="A8" s="39" t="s">
        <v>28</v>
      </c>
      <c r="B8" s="7" t="s">
        <v>29</v>
      </c>
      <c r="C8" s="9">
        <v>46166</v>
      </c>
      <c r="D8" s="7">
        <v>4</v>
      </c>
      <c r="E8" s="7">
        <v>128</v>
      </c>
      <c r="F8" s="8" t="s">
        <v>11</v>
      </c>
      <c r="G8" s="7">
        <v>82.81</v>
      </c>
      <c r="H8" s="7" t="s">
        <v>12</v>
      </c>
      <c r="I8" s="7" t="s">
        <v>19</v>
      </c>
      <c r="J8" s="41" t="str">
        <f t="shared" si="0"/>
        <v>Week 5</v>
      </c>
    </row>
    <row r="9" spans="1:10" x14ac:dyDescent="0.4">
      <c r="A9" s="39" t="s">
        <v>30</v>
      </c>
      <c r="B9" s="7" t="s">
        <v>31</v>
      </c>
      <c r="C9" s="9">
        <v>46162</v>
      </c>
      <c r="D9" s="7">
        <v>8</v>
      </c>
      <c r="E9" s="7">
        <v>104</v>
      </c>
      <c r="F9" s="8" t="s">
        <v>11</v>
      </c>
      <c r="G9" s="7">
        <v>6.87</v>
      </c>
      <c r="H9" s="7" t="s">
        <v>12</v>
      </c>
      <c r="I9" s="7" t="s">
        <v>22</v>
      </c>
      <c r="J9" s="41" t="str">
        <f t="shared" si="0"/>
        <v>Week 4</v>
      </c>
    </row>
    <row r="10" spans="1:10" x14ac:dyDescent="0.4">
      <c r="A10" s="39" t="s">
        <v>32</v>
      </c>
      <c r="B10" s="7" t="s">
        <v>33</v>
      </c>
      <c r="C10" s="9">
        <v>46167</v>
      </c>
      <c r="D10" s="7">
        <v>4</v>
      </c>
      <c r="E10" s="7">
        <v>109</v>
      </c>
      <c r="F10" s="8" t="s">
        <v>11</v>
      </c>
      <c r="G10" s="7">
        <v>57.02</v>
      </c>
      <c r="H10" s="7" t="s">
        <v>12</v>
      </c>
      <c r="I10" s="7" t="s">
        <v>34</v>
      </c>
      <c r="J10" s="41" t="str">
        <f t="shared" si="0"/>
        <v>Week 5</v>
      </c>
    </row>
    <row r="11" spans="1:10" x14ac:dyDescent="0.4">
      <c r="A11" s="39" t="s">
        <v>35</v>
      </c>
      <c r="B11" s="7" t="s">
        <v>36</v>
      </c>
      <c r="C11" s="9">
        <v>46163</v>
      </c>
      <c r="D11" s="7">
        <v>5</v>
      </c>
      <c r="E11" s="7">
        <v>127</v>
      </c>
      <c r="F11" s="8" t="s">
        <v>16</v>
      </c>
      <c r="G11" s="7">
        <v>31.43</v>
      </c>
      <c r="H11" s="7" t="s">
        <v>12</v>
      </c>
      <c r="I11" s="7" t="s">
        <v>25</v>
      </c>
      <c r="J11" s="41" t="str">
        <f t="shared" si="0"/>
        <v>Week 4</v>
      </c>
    </row>
    <row r="12" spans="1:10" x14ac:dyDescent="0.4">
      <c r="A12" s="39" t="s">
        <v>9</v>
      </c>
      <c r="B12" s="7" t="s">
        <v>10</v>
      </c>
      <c r="C12" s="9">
        <v>46165</v>
      </c>
      <c r="D12" s="7">
        <v>0</v>
      </c>
      <c r="E12" s="7">
        <v>0</v>
      </c>
      <c r="F12" s="8" t="s">
        <v>16</v>
      </c>
      <c r="G12" s="7">
        <v>0</v>
      </c>
      <c r="H12" s="7" t="s">
        <v>37</v>
      </c>
      <c r="I12" s="7" t="s">
        <v>19</v>
      </c>
      <c r="J12" s="41" t="str">
        <f t="shared" si="0"/>
        <v>Week 4</v>
      </c>
    </row>
    <row r="13" spans="1:10" x14ac:dyDescent="0.4">
      <c r="A13" s="39" t="s">
        <v>14</v>
      </c>
      <c r="B13" s="7" t="s">
        <v>15</v>
      </c>
      <c r="C13" s="9">
        <v>46145</v>
      </c>
      <c r="D13" s="7">
        <v>5</v>
      </c>
      <c r="E13" s="7">
        <v>148</v>
      </c>
      <c r="F13" s="8" t="s">
        <v>11</v>
      </c>
      <c r="G13" s="7">
        <v>24.51</v>
      </c>
      <c r="H13" s="7" t="s">
        <v>12</v>
      </c>
      <c r="I13" s="7" t="s">
        <v>34</v>
      </c>
      <c r="J13" s="41" t="str">
        <f t="shared" si="0"/>
        <v>Week 2</v>
      </c>
    </row>
    <row r="14" spans="1:10" x14ac:dyDescent="0.4">
      <c r="A14" s="39" t="s">
        <v>17</v>
      </c>
      <c r="B14" s="7" t="s">
        <v>18</v>
      </c>
      <c r="C14" s="9">
        <v>46151</v>
      </c>
      <c r="D14" s="7">
        <v>0</v>
      </c>
      <c r="E14" s="7">
        <v>0</v>
      </c>
      <c r="F14" s="8" t="s">
        <v>16</v>
      </c>
      <c r="G14" s="7">
        <v>0</v>
      </c>
      <c r="H14" s="7" t="s">
        <v>37</v>
      </c>
      <c r="I14" s="7" t="s">
        <v>19</v>
      </c>
      <c r="J14" s="41" t="str">
        <f t="shared" si="0"/>
        <v>Week 2</v>
      </c>
    </row>
    <row r="15" spans="1:10" x14ac:dyDescent="0.4">
      <c r="A15" s="39" t="s">
        <v>20</v>
      </c>
      <c r="B15" s="7" t="s">
        <v>21</v>
      </c>
      <c r="C15" s="9">
        <v>46165</v>
      </c>
      <c r="D15" s="7">
        <v>8</v>
      </c>
      <c r="E15" s="7">
        <v>87</v>
      </c>
      <c r="F15" s="8" t="s">
        <v>11</v>
      </c>
      <c r="G15" s="7">
        <v>123.27</v>
      </c>
      <c r="H15" s="7" t="s">
        <v>12</v>
      </c>
      <c r="I15" s="7" t="s">
        <v>25</v>
      </c>
      <c r="J15" s="41" t="str">
        <f t="shared" si="0"/>
        <v>Week 4</v>
      </c>
    </row>
    <row r="16" spans="1:10" x14ac:dyDescent="0.4">
      <c r="A16" s="39" t="s">
        <v>23</v>
      </c>
      <c r="B16" s="7" t="s">
        <v>24</v>
      </c>
      <c r="C16" s="9">
        <v>46155</v>
      </c>
      <c r="D16" s="7">
        <v>6</v>
      </c>
      <c r="E16" s="7">
        <v>120</v>
      </c>
      <c r="F16" s="8" t="s">
        <v>11</v>
      </c>
      <c r="G16" s="7">
        <v>98.32</v>
      </c>
      <c r="H16" s="7" t="s">
        <v>12</v>
      </c>
      <c r="I16" s="7" t="s">
        <v>34</v>
      </c>
      <c r="J16" s="41" t="str">
        <f t="shared" si="0"/>
        <v>Week 3</v>
      </c>
    </row>
    <row r="17" spans="1:10" x14ac:dyDescent="0.4">
      <c r="A17" s="39" t="s">
        <v>26</v>
      </c>
      <c r="B17" s="7" t="s">
        <v>27</v>
      </c>
      <c r="C17" s="9">
        <v>46163</v>
      </c>
      <c r="D17" s="7">
        <v>7</v>
      </c>
      <c r="E17" s="7">
        <v>97</v>
      </c>
      <c r="F17" s="8" t="s">
        <v>11</v>
      </c>
      <c r="G17" s="7">
        <v>111.75</v>
      </c>
      <c r="H17" s="7" t="s">
        <v>12</v>
      </c>
      <c r="I17" s="7" t="s">
        <v>38</v>
      </c>
      <c r="J17" s="41" t="str">
        <f t="shared" si="0"/>
        <v>Week 4</v>
      </c>
    </row>
    <row r="18" spans="1:10" x14ac:dyDescent="0.4">
      <c r="A18" s="39" t="s">
        <v>28</v>
      </c>
      <c r="B18" s="7" t="s">
        <v>29</v>
      </c>
      <c r="C18" s="9">
        <v>46151</v>
      </c>
      <c r="D18" s="7">
        <v>9</v>
      </c>
      <c r="E18" s="7">
        <v>131</v>
      </c>
      <c r="F18" s="8" t="s">
        <v>16</v>
      </c>
      <c r="G18" s="7">
        <v>32.9</v>
      </c>
      <c r="H18" s="7" t="s">
        <v>12</v>
      </c>
      <c r="I18" s="7" t="s">
        <v>22</v>
      </c>
      <c r="J18" s="41" t="str">
        <f t="shared" si="0"/>
        <v>Week 2</v>
      </c>
    </row>
    <row r="19" spans="1:10" x14ac:dyDescent="0.4">
      <c r="A19" s="39" t="s">
        <v>30</v>
      </c>
      <c r="B19" s="7" t="s">
        <v>31</v>
      </c>
      <c r="C19" s="9">
        <v>46159</v>
      </c>
      <c r="D19" s="7">
        <v>3</v>
      </c>
      <c r="E19" s="7">
        <v>94</v>
      </c>
      <c r="F19" s="8" t="s">
        <v>11</v>
      </c>
      <c r="G19" s="7">
        <v>94.12</v>
      </c>
      <c r="H19" s="7" t="s">
        <v>12</v>
      </c>
      <c r="I19" s="7" t="s">
        <v>19</v>
      </c>
      <c r="J19" s="41" t="str">
        <f t="shared" si="0"/>
        <v>Week 4</v>
      </c>
    </row>
    <row r="20" spans="1:10" x14ac:dyDescent="0.4">
      <c r="A20" s="39" t="s">
        <v>32</v>
      </c>
      <c r="B20" s="7" t="s">
        <v>33</v>
      </c>
      <c r="C20" s="9">
        <v>46156</v>
      </c>
      <c r="D20" s="7">
        <v>9</v>
      </c>
      <c r="E20" s="7">
        <v>128</v>
      </c>
      <c r="F20" s="8" t="s">
        <v>16</v>
      </c>
      <c r="G20" s="7">
        <v>79.37</v>
      </c>
      <c r="H20" s="7" t="s">
        <v>12</v>
      </c>
      <c r="I20" s="7" t="s">
        <v>38</v>
      </c>
      <c r="J20" s="41" t="str">
        <f t="shared" si="0"/>
        <v>Week 3</v>
      </c>
    </row>
    <row r="21" spans="1:10" x14ac:dyDescent="0.4">
      <c r="A21" s="39" t="s">
        <v>35</v>
      </c>
      <c r="B21" s="7" t="s">
        <v>36</v>
      </c>
      <c r="C21" s="9">
        <v>46170</v>
      </c>
      <c r="D21" s="7">
        <v>0</v>
      </c>
      <c r="E21" s="7">
        <v>0</v>
      </c>
      <c r="F21" s="8" t="s">
        <v>16</v>
      </c>
      <c r="G21" s="7">
        <v>0</v>
      </c>
      <c r="H21" s="7" t="s">
        <v>37</v>
      </c>
      <c r="I21" s="7" t="s">
        <v>19</v>
      </c>
      <c r="J21" s="41" t="str">
        <f t="shared" si="0"/>
        <v>Week 5</v>
      </c>
    </row>
    <row r="22" spans="1:10" x14ac:dyDescent="0.4">
      <c r="A22" s="39" t="s">
        <v>9</v>
      </c>
      <c r="B22" s="7" t="s">
        <v>10</v>
      </c>
      <c r="C22" s="9">
        <v>46166</v>
      </c>
      <c r="D22" s="7">
        <v>11</v>
      </c>
      <c r="E22" s="7">
        <v>114</v>
      </c>
      <c r="F22" s="8" t="s">
        <v>16</v>
      </c>
      <c r="G22" s="7">
        <v>16.73</v>
      </c>
      <c r="H22" s="7" t="s">
        <v>12</v>
      </c>
      <c r="I22" s="7" t="s">
        <v>34</v>
      </c>
      <c r="J22" s="41" t="str">
        <f t="shared" si="0"/>
        <v>Week 5</v>
      </c>
    </row>
    <row r="23" spans="1:10" x14ac:dyDescent="0.4">
      <c r="A23" s="39" t="s">
        <v>14</v>
      </c>
      <c r="B23" s="7" t="s">
        <v>15</v>
      </c>
      <c r="C23" s="9">
        <v>46148</v>
      </c>
      <c r="D23" s="7">
        <v>7</v>
      </c>
      <c r="E23" s="7">
        <v>144</v>
      </c>
      <c r="F23" s="8" t="s">
        <v>11</v>
      </c>
      <c r="G23" s="7">
        <v>76.150000000000006</v>
      </c>
      <c r="H23" s="7" t="s">
        <v>12</v>
      </c>
      <c r="I23" s="7" t="s">
        <v>13</v>
      </c>
      <c r="J23" s="41" t="str">
        <f t="shared" si="0"/>
        <v>Week 2</v>
      </c>
    </row>
    <row r="24" spans="1:10" x14ac:dyDescent="0.4">
      <c r="A24" s="39" t="s">
        <v>17</v>
      </c>
      <c r="B24" s="7" t="s">
        <v>18</v>
      </c>
      <c r="C24" s="9">
        <v>46170</v>
      </c>
      <c r="D24" s="7">
        <v>11</v>
      </c>
      <c r="E24" s="7">
        <v>105</v>
      </c>
      <c r="F24" s="8" t="s">
        <v>11</v>
      </c>
      <c r="G24" s="7">
        <v>56.09</v>
      </c>
      <c r="H24" s="7" t="s">
        <v>12</v>
      </c>
      <c r="I24" s="7" t="s">
        <v>22</v>
      </c>
      <c r="J24" s="41" t="str">
        <f t="shared" si="0"/>
        <v>Week 5</v>
      </c>
    </row>
    <row r="25" spans="1:10" x14ac:dyDescent="0.4">
      <c r="A25" s="39" t="s">
        <v>20</v>
      </c>
      <c r="B25" s="7" t="s">
        <v>21</v>
      </c>
      <c r="C25" s="9">
        <v>46160</v>
      </c>
      <c r="D25" s="7">
        <v>0</v>
      </c>
      <c r="E25" s="7">
        <v>0</v>
      </c>
      <c r="F25" s="8" t="s">
        <v>16</v>
      </c>
      <c r="G25" s="7">
        <v>0</v>
      </c>
      <c r="H25" s="7" t="s">
        <v>37</v>
      </c>
      <c r="I25" s="7" t="s">
        <v>38</v>
      </c>
      <c r="J25" s="41" t="str">
        <f t="shared" si="0"/>
        <v>Week 4</v>
      </c>
    </row>
    <row r="26" spans="1:10" x14ac:dyDescent="0.4">
      <c r="A26" s="39" t="s">
        <v>23</v>
      </c>
      <c r="B26" s="7" t="s">
        <v>24</v>
      </c>
      <c r="C26" s="9">
        <v>46143</v>
      </c>
      <c r="D26" s="7">
        <v>10</v>
      </c>
      <c r="E26" s="7">
        <v>82</v>
      </c>
      <c r="F26" s="8" t="s">
        <v>11</v>
      </c>
      <c r="G26" s="7">
        <v>139.36000000000001</v>
      </c>
      <c r="H26" s="7" t="s">
        <v>12</v>
      </c>
      <c r="I26" s="7" t="s">
        <v>25</v>
      </c>
      <c r="J26" s="41" t="str">
        <f t="shared" si="0"/>
        <v>Week 1</v>
      </c>
    </row>
    <row r="27" spans="1:10" x14ac:dyDescent="0.4">
      <c r="A27" s="39" t="s">
        <v>26</v>
      </c>
      <c r="B27" s="7" t="s">
        <v>27</v>
      </c>
      <c r="C27" s="9">
        <v>46150</v>
      </c>
      <c r="D27" s="7">
        <v>12</v>
      </c>
      <c r="E27" s="7">
        <v>90</v>
      </c>
      <c r="F27" s="8" t="s">
        <v>11</v>
      </c>
      <c r="G27" s="7">
        <v>109.79</v>
      </c>
      <c r="H27" s="7" t="s">
        <v>12</v>
      </c>
      <c r="I27" s="7" t="s">
        <v>13</v>
      </c>
      <c r="J27" s="41" t="str">
        <f t="shared" si="0"/>
        <v>Week 2</v>
      </c>
    </row>
    <row r="28" spans="1:10" x14ac:dyDescent="0.4">
      <c r="A28" s="39" t="s">
        <v>28</v>
      </c>
      <c r="B28" s="7" t="s">
        <v>29</v>
      </c>
      <c r="C28" s="9">
        <v>46167</v>
      </c>
      <c r="D28" s="7">
        <v>5</v>
      </c>
      <c r="E28" s="7">
        <v>96</v>
      </c>
      <c r="F28" s="8" t="s">
        <v>16</v>
      </c>
      <c r="G28" s="7">
        <v>142.03</v>
      </c>
      <c r="H28" s="7" t="s">
        <v>12</v>
      </c>
      <c r="I28" s="7" t="s">
        <v>22</v>
      </c>
      <c r="J28" s="41" t="str">
        <f t="shared" si="0"/>
        <v>Week 5</v>
      </c>
    </row>
    <row r="29" spans="1:10" x14ac:dyDescent="0.4">
      <c r="A29" s="39" t="s">
        <v>30</v>
      </c>
      <c r="B29" s="7" t="s">
        <v>31</v>
      </c>
      <c r="C29" s="9">
        <v>46151</v>
      </c>
      <c r="D29" s="7">
        <v>12</v>
      </c>
      <c r="E29" s="7">
        <v>134</v>
      </c>
      <c r="F29" s="8" t="s">
        <v>11</v>
      </c>
      <c r="G29" s="7">
        <v>139.34</v>
      </c>
      <c r="H29" s="7" t="s">
        <v>12</v>
      </c>
      <c r="I29" s="7" t="s">
        <v>19</v>
      </c>
      <c r="J29" s="41" t="str">
        <f t="shared" si="0"/>
        <v>Week 2</v>
      </c>
    </row>
    <row r="30" spans="1:10" x14ac:dyDescent="0.4">
      <c r="A30" s="39" t="s">
        <v>32</v>
      </c>
      <c r="B30" s="7" t="s">
        <v>33</v>
      </c>
      <c r="C30" s="9">
        <v>46165</v>
      </c>
      <c r="D30" s="7">
        <v>7</v>
      </c>
      <c r="E30" s="7">
        <v>131</v>
      </c>
      <c r="F30" s="8" t="s">
        <v>16</v>
      </c>
      <c r="G30" s="7">
        <v>65.72</v>
      </c>
      <c r="H30" s="7" t="s">
        <v>12</v>
      </c>
      <c r="I30" s="7" t="s">
        <v>38</v>
      </c>
      <c r="J30" s="41" t="str">
        <f t="shared" si="0"/>
        <v>Week 4</v>
      </c>
    </row>
    <row r="31" spans="1:10" x14ac:dyDescent="0.4">
      <c r="A31" s="39" t="s">
        <v>35</v>
      </c>
      <c r="B31" s="7" t="s">
        <v>36</v>
      </c>
      <c r="C31" s="9">
        <v>46157</v>
      </c>
      <c r="D31" s="7">
        <v>6</v>
      </c>
      <c r="E31" s="7">
        <v>88</v>
      </c>
      <c r="F31" s="8" t="s">
        <v>16</v>
      </c>
      <c r="G31" s="7">
        <v>3.16</v>
      </c>
      <c r="H31" s="7" t="s">
        <v>12</v>
      </c>
      <c r="I31" s="7" t="s">
        <v>38</v>
      </c>
      <c r="J31" s="41" t="str">
        <f t="shared" si="0"/>
        <v>Week 3</v>
      </c>
    </row>
    <row r="32" spans="1:10" x14ac:dyDescent="0.4">
      <c r="A32" s="39" t="s">
        <v>9</v>
      </c>
      <c r="B32" s="7" t="s">
        <v>10</v>
      </c>
      <c r="C32" s="9">
        <v>46150</v>
      </c>
      <c r="D32" s="7">
        <v>3</v>
      </c>
      <c r="E32" s="7">
        <v>89</v>
      </c>
      <c r="F32" s="8" t="s">
        <v>11</v>
      </c>
      <c r="G32" s="7">
        <v>34.340000000000003</v>
      </c>
      <c r="H32" s="7" t="s">
        <v>12</v>
      </c>
      <c r="I32" s="7" t="s">
        <v>13</v>
      </c>
      <c r="J32" s="41" t="str">
        <f t="shared" si="0"/>
        <v>Week 2</v>
      </c>
    </row>
    <row r="33" spans="1:10" x14ac:dyDescent="0.4">
      <c r="A33" s="39" t="s">
        <v>14</v>
      </c>
      <c r="B33" s="7" t="s">
        <v>15</v>
      </c>
      <c r="C33" s="9">
        <v>46170</v>
      </c>
      <c r="D33" s="7">
        <v>11</v>
      </c>
      <c r="E33" s="7">
        <v>110</v>
      </c>
      <c r="F33" s="8" t="s">
        <v>16</v>
      </c>
      <c r="G33" s="7">
        <v>100.35</v>
      </c>
      <c r="H33" s="7" t="s">
        <v>12</v>
      </c>
      <c r="I33" s="7" t="s">
        <v>22</v>
      </c>
      <c r="J33" s="41" t="str">
        <f t="shared" si="0"/>
        <v>Week 5</v>
      </c>
    </row>
    <row r="34" spans="1:10" x14ac:dyDescent="0.4">
      <c r="A34" s="39" t="s">
        <v>17</v>
      </c>
      <c r="B34" s="7" t="s">
        <v>18</v>
      </c>
      <c r="C34" s="9">
        <v>46160</v>
      </c>
      <c r="D34" s="7">
        <v>12</v>
      </c>
      <c r="E34" s="7">
        <v>140</v>
      </c>
      <c r="F34" s="8" t="s">
        <v>11</v>
      </c>
      <c r="G34" s="7">
        <v>117.69</v>
      </c>
      <c r="H34" s="7" t="s">
        <v>12</v>
      </c>
      <c r="I34" s="7" t="s">
        <v>34</v>
      </c>
      <c r="J34" s="41" t="str">
        <f t="shared" si="0"/>
        <v>Week 4</v>
      </c>
    </row>
    <row r="35" spans="1:10" x14ac:dyDescent="0.4">
      <c r="A35" s="39" t="s">
        <v>20</v>
      </c>
      <c r="B35" s="7" t="s">
        <v>21</v>
      </c>
      <c r="C35" s="9">
        <v>46149</v>
      </c>
      <c r="D35" s="7">
        <v>9</v>
      </c>
      <c r="E35" s="7">
        <v>125</v>
      </c>
      <c r="F35" s="8" t="s">
        <v>16</v>
      </c>
      <c r="G35" s="7">
        <v>61.67</v>
      </c>
      <c r="H35" s="7" t="s">
        <v>12</v>
      </c>
      <c r="I35" s="7" t="s">
        <v>19</v>
      </c>
      <c r="J35" s="41" t="str">
        <f t="shared" si="0"/>
        <v>Week 2</v>
      </c>
    </row>
    <row r="36" spans="1:10" x14ac:dyDescent="0.4">
      <c r="A36" s="39" t="s">
        <v>23</v>
      </c>
      <c r="B36" s="7" t="s">
        <v>24</v>
      </c>
      <c r="C36" s="9">
        <v>46144</v>
      </c>
      <c r="D36" s="7">
        <v>4</v>
      </c>
      <c r="E36" s="7">
        <v>87</v>
      </c>
      <c r="F36" s="8" t="s">
        <v>16</v>
      </c>
      <c r="G36" s="7">
        <v>109.23</v>
      </c>
      <c r="H36" s="7" t="s">
        <v>12</v>
      </c>
      <c r="I36" s="7" t="s">
        <v>13</v>
      </c>
      <c r="J36" s="41" t="str">
        <f t="shared" si="0"/>
        <v>Week 1</v>
      </c>
    </row>
    <row r="37" spans="1:10" x14ac:dyDescent="0.4">
      <c r="A37" s="39" t="s">
        <v>26</v>
      </c>
      <c r="B37" s="7" t="s">
        <v>27</v>
      </c>
      <c r="C37" s="9">
        <v>46150</v>
      </c>
      <c r="D37" s="7">
        <v>11</v>
      </c>
      <c r="E37" s="7">
        <v>137</v>
      </c>
      <c r="F37" s="8" t="s">
        <v>11</v>
      </c>
      <c r="G37" s="7">
        <v>63.28</v>
      </c>
      <c r="H37" s="7" t="s">
        <v>12</v>
      </c>
      <c r="I37" s="7" t="s">
        <v>25</v>
      </c>
      <c r="J37" s="41" t="str">
        <f t="shared" si="0"/>
        <v>Week 2</v>
      </c>
    </row>
    <row r="38" spans="1:10" x14ac:dyDescent="0.4">
      <c r="A38" s="39" t="s">
        <v>28</v>
      </c>
      <c r="B38" s="7" t="s">
        <v>29</v>
      </c>
      <c r="C38" s="9">
        <v>46157</v>
      </c>
      <c r="D38" s="7">
        <v>4</v>
      </c>
      <c r="E38" s="7">
        <v>136</v>
      </c>
      <c r="F38" s="8" t="s">
        <v>11</v>
      </c>
      <c r="G38" s="7">
        <v>7.59</v>
      </c>
      <c r="H38" s="7" t="s">
        <v>12</v>
      </c>
      <c r="I38" s="7" t="s">
        <v>38</v>
      </c>
      <c r="J38" s="41" t="str">
        <f t="shared" si="0"/>
        <v>Week 3</v>
      </c>
    </row>
    <row r="39" spans="1:10" x14ac:dyDescent="0.4">
      <c r="A39" s="39" t="s">
        <v>30</v>
      </c>
      <c r="B39" s="7" t="s">
        <v>31</v>
      </c>
      <c r="C39" s="9">
        <v>46169</v>
      </c>
      <c r="D39" s="7">
        <v>4</v>
      </c>
      <c r="E39" s="7">
        <v>110</v>
      </c>
      <c r="F39" s="8" t="s">
        <v>11</v>
      </c>
      <c r="G39" s="7">
        <v>60.96</v>
      </c>
      <c r="H39" s="7" t="s">
        <v>12</v>
      </c>
      <c r="I39" s="7" t="s">
        <v>34</v>
      </c>
      <c r="J39" s="41" t="str">
        <f t="shared" si="0"/>
        <v>Week 5</v>
      </c>
    </row>
    <row r="40" spans="1:10" x14ac:dyDescent="0.4">
      <c r="A40" s="39" t="s">
        <v>32</v>
      </c>
      <c r="B40" s="7" t="s">
        <v>33</v>
      </c>
      <c r="C40" s="9">
        <v>46149</v>
      </c>
      <c r="D40" s="7">
        <v>3</v>
      </c>
      <c r="E40" s="7">
        <v>101</v>
      </c>
      <c r="F40" s="8" t="s">
        <v>16</v>
      </c>
      <c r="G40" s="7">
        <v>0.32</v>
      </c>
      <c r="H40" s="7" t="s">
        <v>12</v>
      </c>
      <c r="I40" s="7" t="s">
        <v>34</v>
      </c>
      <c r="J40" s="41" t="str">
        <f t="shared" si="0"/>
        <v>Week 2</v>
      </c>
    </row>
    <row r="41" spans="1:10" x14ac:dyDescent="0.4">
      <c r="A41" s="39" t="s">
        <v>35</v>
      </c>
      <c r="B41" s="7" t="s">
        <v>36</v>
      </c>
      <c r="C41" s="9">
        <v>46151</v>
      </c>
      <c r="D41" s="7">
        <v>0</v>
      </c>
      <c r="E41" s="7">
        <v>0</v>
      </c>
      <c r="F41" s="8" t="s">
        <v>16</v>
      </c>
      <c r="G41" s="7">
        <v>0</v>
      </c>
      <c r="H41" s="7" t="s">
        <v>37</v>
      </c>
      <c r="I41" s="7" t="s">
        <v>34</v>
      </c>
      <c r="J41" s="41" t="str">
        <f t="shared" si="0"/>
        <v>Week 2</v>
      </c>
    </row>
    <row r="42" spans="1:10" x14ac:dyDescent="0.4">
      <c r="A42" s="39" t="s">
        <v>9</v>
      </c>
      <c r="B42" s="7" t="s">
        <v>10</v>
      </c>
      <c r="C42" s="9">
        <v>46152</v>
      </c>
      <c r="D42" s="7">
        <v>11</v>
      </c>
      <c r="E42" s="7">
        <v>142</v>
      </c>
      <c r="F42" s="8" t="s">
        <v>11</v>
      </c>
      <c r="G42" s="7">
        <v>28.48</v>
      </c>
      <c r="H42" s="7" t="s">
        <v>12</v>
      </c>
      <c r="I42" s="7" t="s">
        <v>22</v>
      </c>
      <c r="J42" s="41" t="str">
        <f t="shared" si="0"/>
        <v>Week 3</v>
      </c>
    </row>
    <row r="43" spans="1:10" x14ac:dyDescent="0.4">
      <c r="A43" s="39" t="s">
        <v>14</v>
      </c>
      <c r="B43" s="7" t="s">
        <v>15</v>
      </c>
      <c r="C43" s="9">
        <v>46144</v>
      </c>
      <c r="D43" s="7">
        <v>11</v>
      </c>
      <c r="E43" s="7">
        <v>87</v>
      </c>
      <c r="F43" s="8" t="s">
        <v>16</v>
      </c>
      <c r="G43" s="7">
        <v>8.57</v>
      </c>
      <c r="H43" s="7" t="s">
        <v>12</v>
      </c>
      <c r="I43" s="7" t="s">
        <v>38</v>
      </c>
      <c r="J43" s="41" t="str">
        <f t="shared" si="0"/>
        <v>Week 1</v>
      </c>
    </row>
    <row r="44" spans="1:10" x14ac:dyDescent="0.4">
      <c r="A44" s="39" t="s">
        <v>17</v>
      </c>
      <c r="B44" s="7" t="s">
        <v>18</v>
      </c>
      <c r="C44" s="9">
        <v>46158</v>
      </c>
      <c r="D44" s="7">
        <v>11</v>
      </c>
      <c r="E44" s="7">
        <v>100</v>
      </c>
      <c r="F44" s="8" t="s">
        <v>11</v>
      </c>
      <c r="G44" s="7">
        <v>144.12</v>
      </c>
      <c r="H44" s="7" t="s">
        <v>12</v>
      </c>
      <c r="I44" s="7" t="s">
        <v>13</v>
      </c>
      <c r="J44" s="41" t="str">
        <f t="shared" si="0"/>
        <v>Week 3</v>
      </c>
    </row>
    <row r="45" spans="1:10" x14ac:dyDescent="0.4">
      <c r="A45" s="39" t="s">
        <v>20</v>
      </c>
      <c r="B45" s="7" t="s">
        <v>21</v>
      </c>
      <c r="C45" s="9">
        <v>46170</v>
      </c>
      <c r="D45" s="7">
        <v>12</v>
      </c>
      <c r="E45" s="7">
        <v>88</v>
      </c>
      <c r="F45" s="8" t="s">
        <v>11</v>
      </c>
      <c r="G45" s="7">
        <v>60.57</v>
      </c>
      <c r="H45" s="7" t="s">
        <v>12</v>
      </c>
      <c r="I45" s="7" t="s">
        <v>38</v>
      </c>
      <c r="J45" s="41" t="str">
        <f t="shared" si="0"/>
        <v>Week 5</v>
      </c>
    </row>
    <row r="46" spans="1:10" x14ac:dyDescent="0.4">
      <c r="A46" s="39" t="s">
        <v>23</v>
      </c>
      <c r="B46" s="7" t="s">
        <v>24</v>
      </c>
      <c r="C46" s="9">
        <v>46150</v>
      </c>
      <c r="D46" s="7">
        <v>3</v>
      </c>
      <c r="E46" s="7">
        <v>90</v>
      </c>
      <c r="F46" s="8" t="s">
        <v>16</v>
      </c>
      <c r="G46" s="7">
        <v>98.61</v>
      </c>
      <c r="H46" s="7" t="s">
        <v>12</v>
      </c>
      <c r="I46" s="7" t="s">
        <v>38</v>
      </c>
      <c r="J46" s="41" t="str">
        <f t="shared" si="0"/>
        <v>Week 2</v>
      </c>
    </row>
    <row r="47" spans="1:10" x14ac:dyDescent="0.4">
      <c r="A47" s="39" t="s">
        <v>26</v>
      </c>
      <c r="B47" s="7" t="s">
        <v>27</v>
      </c>
      <c r="C47" s="9">
        <v>46159</v>
      </c>
      <c r="D47" s="7">
        <v>7</v>
      </c>
      <c r="E47" s="7">
        <v>106</v>
      </c>
      <c r="F47" s="8" t="s">
        <v>16</v>
      </c>
      <c r="G47" s="7">
        <v>35.799999999999997</v>
      </c>
      <c r="H47" s="7" t="s">
        <v>12</v>
      </c>
      <c r="I47" s="7" t="s">
        <v>34</v>
      </c>
      <c r="J47" s="41" t="str">
        <f t="shared" si="0"/>
        <v>Week 4</v>
      </c>
    </row>
    <row r="48" spans="1:10" x14ac:dyDescent="0.4">
      <c r="A48" s="39" t="s">
        <v>28</v>
      </c>
      <c r="B48" s="7" t="s">
        <v>29</v>
      </c>
      <c r="C48" s="9">
        <v>46147</v>
      </c>
      <c r="D48" s="7">
        <v>7</v>
      </c>
      <c r="E48" s="7">
        <v>138</v>
      </c>
      <c r="F48" s="8" t="s">
        <v>16</v>
      </c>
      <c r="G48" s="7">
        <v>139.35</v>
      </c>
      <c r="H48" s="7" t="s">
        <v>12</v>
      </c>
      <c r="I48" s="7" t="s">
        <v>13</v>
      </c>
      <c r="J48" s="41" t="str">
        <f t="shared" si="0"/>
        <v>Week 2</v>
      </c>
    </row>
    <row r="49" spans="1:10" x14ac:dyDescent="0.4">
      <c r="A49" s="39" t="s">
        <v>30</v>
      </c>
      <c r="B49" s="7" t="s">
        <v>31</v>
      </c>
      <c r="C49" s="9">
        <v>46143</v>
      </c>
      <c r="D49" s="7">
        <v>12</v>
      </c>
      <c r="E49" s="7">
        <v>92</v>
      </c>
      <c r="F49" s="8" t="s">
        <v>11</v>
      </c>
      <c r="G49" s="7">
        <v>80.650000000000006</v>
      </c>
      <c r="H49" s="7" t="s">
        <v>12</v>
      </c>
      <c r="I49" s="7" t="s">
        <v>38</v>
      </c>
      <c r="J49" s="41" t="str">
        <f t="shared" si="0"/>
        <v>Week 1</v>
      </c>
    </row>
    <row r="50" spans="1:10" x14ac:dyDescent="0.4">
      <c r="A50" s="39" t="s">
        <v>32</v>
      </c>
      <c r="B50" s="7" t="s">
        <v>33</v>
      </c>
      <c r="C50" s="9">
        <v>46151</v>
      </c>
      <c r="D50" s="7">
        <v>8</v>
      </c>
      <c r="E50" s="7">
        <v>88</v>
      </c>
      <c r="F50" s="8" t="s">
        <v>11</v>
      </c>
      <c r="G50" s="7">
        <v>55.43</v>
      </c>
      <c r="H50" s="7" t="s">
        <v>12</v>
      </c>
      <c r="I50" s="7" t="s">
        <v>22</v>
      </c>
      <c r="J50" s="41" t="str">
        <f t="shared" si="0"/>
        <v>Week 2</v>
      </c>
    </row>
    <row r="51" spans="1:10" x14ac:dyDescent="0.4">
      <c r="A51" s="39" t="s">
        <v>35</v>
      </c>
      <c r="B51" s="7" t="s">
        <v>36</v>
      </c>
      <c r="C51" s="9">
        <v>46157</v>
      </c>
      <c r="D51" s="7">
        <v>7</v>
      </c>
      <c r="E51" s="7">
        <v>147</v>
      </c>
      <c r="F51" s="8" t="s">
        <v>11</v>
      </c>
      <c r="G51" s="7">
        <v>100.18</v>
      </c>
      <c r="H51" s="7" t="s">
        <v>12</v>
      </c>
      <c r="I51" s="7" t="s">
        <v>38</v>
      </c>
      <c r="J51" s="41" t="str">
        <f t="shared" si="0"/>
        <v>Week 3</v>
      </c>
    </row>
    <row r="52" spans="1:10" x14ac:dyDescent="0.4">
      <c r="A52" s="39" t="s">
        <v>9</v>
      </c>
      <c r="B52" s="7" t="s">
        <v>10</v>
      </c>
      <c r="C52" s="9">
        <v>46152</v>
      </c>
      <c r="D52" s="7">
        <v>0</v>
      </c>
      <c r="E52" s="7">
        <v>0</v>
      </c>
      <c r="F52" s="8" t="s">
        <v>16</v>
      </c>
      <c r="G52" s="7">
        <v>0</v>
      </c>
      <c r="H52" s="7" t="s">
        <v>37</v>
      </c>
      <c r="I52" s="7" t="s">
        <v>13</v>
      </c>
      <c r="J52" s="41" t="str">
        <f t="shared" si="0"/>
        <v>Week 3</v>
      </c>
    </row>
    <row r="53" spans="1:10" x14ac:dyDescent="0.4">
      <c r="A53" s="39" t="s">
        <v>14</v>
      </c>
      <c r="B53" s="7" t="s">
        <v>15</v>
      </c>
      <c r="C53" s="9">
        <v>46147</v>
      </c>
      <c r="D53" s="7">
        <v>4</v>
      </c>
      <c r="E53" s="7">
        <v>150</v>
      </c>
      <c r="F53" s="8" t="s">
        <v>11</v>
      </c>
      <c r="G53" s="7">
        <v>40.85</v>
      </c>
      <c r="H53" s="7" t="s">
        <v>12</v>
      </c>
      <c r="I53" s="7" t="s">
        <v>38</v>
      </c>
      <c r="J53" s="41" t="str">
        <f t="shared" si="0"/>
        <v>Week 2</v>
      </c>
    </row>
    <row r="54" spans="1:10" x14ac:dyDescent="0.4">
      <c r="A54" s="39" t="s">
        <v>17</v>
      </c>
      <c r="B54" s="7" t="s">
        <v>18</v>
      </c>
      <c r="C54" s="9">
        <v>46149</v>
      </c>
      <c r="D54" s="7">
        <v>6</v>
      </c>
      <c r="E54" s="7">
        <v>113</v>
      </c>
      <c r="F54" s="8" t="s">
        <v>16</v>
      </c>
      <c r="G54" s="7">
        <v>37.67</v>
      </c>
      <c r="H54" s="7" t="s">
        <v>12</v>
      </c>
      <c r="I54" s="7" t="s">
        <v>13</v>
      </c>
      <c r="J54" s="41" t="str">
        <f t="shared" si="0"/>
        <v>Week 2</v>
      </c>
    </row>
    <row r="55" spans="1:10" x14ac:dyDescent="0.4">
      <c r="A55" s="39" t="s">
        <v>20</v>
      </c>
      <c r="B55" s="7" t="s">
        <v>21</v>
      </c>
      <c r="C55" s="9">
        <v>46145</v>
      </c>
      <c r="D55" s="7">
        <v>7</v>
      </c>
      <c r="E55" s="7">
        <v>85</v>
      </c>
      <c r="F55" s="8" t="s">
        <v>11</v>
      </c>
      <c r="G55" s="7">
        <v>50.03</v>
      </c>
      <c r="H55" s="7" t="s">
        <v>12</v>
      </c>
      <c r="I55" s="7" t="s">
        <v>22</v>
      </c>
      <c r="J55" s="41" t="str">
        <f t="shared" si="0"/>
        <v>Week 2</v>
      </c>
    </row>
    <row r="56" spans="1:10" x14ac:dyDescent="0.4">
      <c r="A56" s="39" t="s">
        <v>23</v>
      </c>
      <c r="B56" s="7" t="s">
        <v>24</v>
      </c>
      <c r="C56" s="9">
        <v>46163</v>
      </c>
      <c r="D56" s="7">
        <v>0</v>
      </c>
      <c r="E56" s="7">
        <v>0</v>
      </c>
      <c r="F56" s="8" t="s">
        <v>16</v>
      </c>
      <c r="G56" s="7">
        <v>0</v>
      </c>
      <c r="H56" s="7" t="s">
        <v>37</v>
      </c>
      <c r="I56" s="7" t="s">
        <v>22</v>
      </c>
      <c r="J56" s="41" t="str">
        <f t="shared" si="0"/>
        <v>Week 4</v>
      </c>
    </row>
    <row r="57" spans="1:10" x14ac:dyDescent="0.4">
      <c r="A57" s="39" t="s">
        <v>26</v>
      </c>
      <c r="B57" s="7" t="s">
        <v>27</v>
      </c>
      <c r="C57" s="9">
        <v>46166</v>
      </c>
      <c r="D57" s="7">
        <v>9</v>
      </c>
      <c r="E57" s="7">
        <v>81</v>
      </c>
      <c r="F57" s="8" t="s">
        <v>11</v>
      </c>
      <c r="G57" s="7">
        <v>11.29</v>
      </c>
      <c r="H57" s="7" t="s">
        <v>12</v>
      </c>
      <c r="I57" s="7" t="s">
        <v>19</v>
      </c>
      <c r="J57" s="41" t="str">
        <f t="shared" si="0"/>
        <v>Week 5</v>
      </c>
    </row>
    <row r="58" spans="1:10" x14ac:dyDescent="0.4">
      <c r="A58" s="39" t="s">
        <v>28</v>
      </c>
      <c r="B58" s="7" t="s">
        <v>29</v>
      </c>
      <c r="C58" s="9">
        <v>46147</v>
      </c>
      <c r="D58" s="7">
        <v>8</v>
      </c>
      <c r="E58" s="7">
        <v>150</v>
      </c>
      <c r="F58" s="8" t="s">
        <v>11</v>
      </c>
      <c r="G58" s="7">
        <v>64.47</v>
      </c>
      <c r="H58" s="7" t="s">
        <v>12</v>
      </c>
      <c r="I58" s="7" t="s">
        <v>13</v>
      </c>
      <c r="J58" s="41" t="str">
        <f t="shared" si="0"/>
        <v>Week 2</v>
      </c>
    </row>
    <row r="59" spans="1:10" x14ac:dyDescent="0.4">
      <c r="A59" s="39" t="s">
        <v>30</v>
      </c>
      <c r="B59" s="7" t="s">
        <v>31</v>
      </c>
      <c r="C59" s="9">
        <v>46152</v>
      </c>
      <c r="D59" s="7">
        <v>3</v>
      </c>
      <c r="E59" s="7">
        <v>125</v>
      </c>
      <c r="F59" s="8" t="s">
        <v>11</v>
      </c>
      <c r="G59" s="7">
        <v>102.31</v>
      </c>
      <c r="H59" s="7" t="s">
        <v>12</v>
      </c>
      <c r="I59" s="7" t="s">
        <v>19</v>
      </c>
      <c r="J59" s="41" t="str">
        <f t="shared" si="0"/>
        <v>Week 3</v>
      </c>
    </row>
    <row r="60" spans="1:10" x14ac:dyDescent="0.4">
      <c r="A60" s="39" t="s">
        <v>32</v>
      </c>
      <c r="B60" s="7" t="s">
        <v>33</v>
      </c>
      <c r="C60" s="9">
        <v>46146</v>
      </c>
      <c r="D60" s="7">
        <v>11</v>
      </c>
      <c r="E60" s="7">
        <v>132</v>
      </c>
      <c r="F60" s="8" t="s">
        <v>11</v>
      </c>
      <c r="G60" s="7">
        <v>138.86000000000001</v>
      </c>
      <c r="H60" s="7" t="s">
        <v>12</v>
      </c>
      <c r="I60" s="7" t="s">
        <v>22</v>
      </c>
      <c r="J60" s="41" t="str">
        <f t="shared" si="0"/>
        <v>Week 2</v>
      </c>
    </row>
    <row r="61" spans="1:10" x14ac:dyDescent="0.4">
      <c r="A61" s="46" t="s">
        <v>35</v>
      </c>
      <c r="B61" s="38" t="s">
        <v>36</v>
      </c>
      <c r="C61" s="47">
        <v>46170</v>
      </c>
      <c r="D61" s="38">
        <v>5</v>
      </c>
      <c r="E61" s="38">
        <v>132</v>
      </c>
      <c r="F61" s="48" t="s">
        <v>11</v>
      </c>
      <c r="G61" s="38">
        <v>26.9</v>
      </c>
      <c r="H61" s="38" t="s">
        <v>12</v>
      </c>
      <c r="I61" s="38" t="s">
        <v>25</v>
      </c>
      <c r="J61" s="49" t="str">
        <f t="shared" si="0"/>
        <v>Week 5</v>
      </c>
    </row>
  </sheetData>
  <sheetProtection algorithmName="SHA-512" hashValue="77oHqG9pngIuqlq8Ha0jMQLhqYcPdVTdMCmJ1NN4nLjB9HDBbJFBapu3RPjYoxRq7AD1g2uqox9bvVfMPScSZg==" saltValue="hdjFcKBtd6qECjHAV6ruv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E9803-2619-4334-9099-39D5248BFEFA}">
  <sheetPr codeName="Sheet2"/>
  <dimension ref="A1:V61"/>
  <sheetViews>
    <sheetView showGridLines="0" topLeftCell="L1" workbookViewId="0">
      <selection activeCell="P15" sqref="P15"/>
    </sheetView>
  </sheetViews>
  <sheetFormatPr defaultRowHeight="14.6" x14ac:dyDescent="0.4"/>
  <cols>
    <col min="1" max="1" width="7.921875" hidden="1" customWidth="1"/>
    <col min="2" max="2" width="14.23046875" hidden="1" customWidth="1"/>
    <col min="3" max="3" width="10.07421875" hidden="1" customWidth="1"/>
    <col min="4" max="4" width="15" hidden="1" customWidth="1"/>
    <col min="5" max="5" width="15.765625" hidden="1" customWidth="1"/>
    <col min="6" max="6" width="17.69140625" style="1" hidden="1" customWidth="1"/>
    <col min="7" max="7" width="10.15234375" hidden="1" customWidth="1"/>
    <col min="8" max="8" width="24.61328125" hidden="1" customWidth="1"/>
    <col min="9" max="9" width="11.3828125" hidden="1" customWidth="1"/>
    <col min="10" max="11" width="16.765625" style="2" bestFit="1" customWidth="1"/>
    <col min="12" max="12" width="23.07421875" style="2" bestFit="1" customWidth="1"/>
    <col min="13" max="13" width="17.61328125" style="2" bestFit="1" customWidth="1"/>
    <col min="14" max="14" width="16.4609375" style="2" bestFit="1" customWidth="1"/>
    <col min="15" max="15" width="19.921875" style="2" bestFit="1" customWidth="1"/>
    <col min="16" max="16" width="19.15234375" style="2" bestFit="1" customWidth="1"/>
    <col min="17" max="17" width="15.15234375" style="2" bestFit="1" customWidth="1"/>
    <col min="18" max="18" width="29.61328125" bestFit="1" customWidth="1"/>
    <col min="19" max="19" width="24.4609375" bestFit="1" customWidth="1"/>
    <col min="20" max="20" width="23.765625" bestFit="1" customWidth="1"/>
    <col min="21" max="21" width="20.3828125" bestFit="1" customWidth="1"/>
    <col min="22" max="22" width="16.4609375" bestFit="1" customWidth="1"/>
  </cols>
  <sheetData>
    <row r="1" spans="1:22" ht="15" thickBot="1" x14ac:dyDescent="0.45">
      <c r="A1" s="10" t="s">
        <v>0</v>
      </c>
      <c r="B1" s="10" t="s">
        <v>1</v>
      </c>
      <c r="C1" s="10" t="s">
        <v>2</v>
      </c>
      <c r="D1" s="10" t="s">
        <v>3</v>
      </c>
      <c r="E1" s="10" t="s">
        <v>4</v>
      </c>
      <c r="F1" s="11" t="s">
        <v>5</v>
      </c>
      <c r="G1" s="10" t="s">
        <v>6</v>
      </c>
      <c r="H1" s="10" t="s">
        <v>7</v>
      </c>
      <c r="I1" s="10" t="s">
        <v>8</v>
      </c>
      <c r="J1" s="12" t="s">
        <v>45</v>
      </c>
      <c r="K1" s="13" t="s">
        <v>46</v>
      </c>
      <c r="L1" s="31" t="s">
        <v>44</v>
      </c>
      <c r="M1" s="31" t="s">
        <v>43</v>
      </c>
      <c r="N1" s="31" t="s">
        <v>39</v>
      </c>
      <c r="O1" s="31" t="s">
        <v>40</v>
      </c>
      <c r="P1" s="31" t="s">
        <v>41</v>
      </c>
      <c r="Q1" s="31" t="s">
        <v>42</v>
      </c>
      <c r="R1" s="6" t="s">
        <v>47</v>
      </c>
      <c r="S1" s="6" t="s">
        <v>48</v>
      </c>
      <c r="T1" s="6" t="s">
        <v>49</v>
      </c>
      <c r="U1" s="6" t="s">
        <v>50</v>
      </c>
      <c r="V1" s="6" t="s">
        <v>51</v>
      </c>
    </row>
    <row r="2" spans="1:22" x14ac:dyDescent="0.4">
      <c r="A2" s="14" t="s">
        <v>9</v>
      </c>
      <c r="B2" s="14" t="s">
        <v>10</v>
      </c>
      <c r="C2" s="15">
        <v>46163</v>
      </c>
      <c r="D2" s="14">
        <v>7</v>
      </c>
      <c r="E2" s="14">
        <v>111</v>
      </c>
      <c r="F2" s="16" t="s">
        <v>11</v>
      </c>
      <c r="G2" s="14">
        <v>20.93</v>
      </c>
      <c r="H2" s="14" t="s">
        <v>12</v>
      </c>
      <c r="I2" s="14" t="s">
        <v>13</v>
      </c>
      <c r="J2" s="17" t="str">
        <f>VLOOKUP(Raw_Data!A2,Raw_Data!A2:I61,1)</f>
        <v>RID001</v>
      </c>
      <c r="K2" s="18" t="str">
        <f>_xlfn.XLOOKUP(A2, Raw_Data!A:A, Raw_Data!B:B)</f>
        <v>Aman Kumar</v>
      </c>
      <c r="L2" s="17">
        <f>SUMIF(Raw_Data!A:A,Raw_Data!A2,Raw_Data!D:D)</f>
        <v>32</v>
      </c>
      <c r="M2" s="17" cm="1">
        <f t="array" ref="M2">SUMPRODUCT((Raw_Data!A$2:A$61=A2)*(Raw_Data!D$2:D$61)*(Raw_Data!E$2:E$61))</f>
        <v>3860</v>
      </c>
      <c r="N2" s="17">
        <f>COUNTIFS(Raw_Data!A:A, A2, Raw_Data!F:F, "Y")</f>
        <v>3</v>
      </c>
      <c r="O2" s="3">
        <f>COUNTIFS(Raw_Data!A:A,A2,Raw_Data!H:H,"Present")/COUNTIF(Raw_Data!A:A,A2)</f>
        <v>0.66666666666666663</v>
      </c>
      <c r="P2" s="17">
        <f>SUMIF(Raw_Data!A:A, A2, Raw_Data!G:G)</f>
        <v>100.48</v>
      </c>
      <c r="Q2" s="17">
        <f t="shared" ref="Q2:Q33" si="0">M2-P2</f>
        <v>3759.52</v>
      </c>
      <c r="R2" s="34">
        <f>SUMIF(Raw_Data!A:A,Raw_Data!A2,Raw_Data!D:D)/COUNTIFS(Raw_Data!A:A,Raw_Data!A2,Raw_Data!H:H,"Present")</f>
        <v>8</v>
      </c>
      <c r="S2" s="35">
        <f>Table2[[#This Row],[Total_Earnings]]/COUNTIFS(Raw_Data!A:A,Raw_Data!A2,Raw_Data!H:H,"Present")</f>
        <v>965</v>
      </c>
      <c r="T2" s="2">
        <f>_xlfn.MAXIFS(Raw_Data!D:D,Raw_Data!A:A,A2)</f>
        <v>11</v>
      </c>
      <c r="U2" s="36">
        <f>COUNTIFS(Raw_Data!A:A,A2,Raw_Data!F:F,"Y")
/
COUNTIF(Raw_Data!A:A,A2)</f>
        <v>0.5</v>
      </c>
      <c r="V2" s="2" t="str">
        <f>_xlfn.XLOOKUP(A2,Raw_Data!A:A,Raw_Data!I:I)</f>
        <v>Rohini</v>
      </c>
    </row>
    <row r="3" spans="1:22" x14ac:dyDescent="0.4">
      <c r="A3" s="19" t="s">
        <v>14</v>
      </c>
      <c r="B3" s="19" t="s">
        <v>15</v>
      </c>
      <c r="C3" s="20">
        <v>46164</v>
      </c>
      <c r="D3" s="19">
        <v>11</v>
      </c>
      <c r="E3" s="19">
        <v>91</v>
      </c>
      <c r="F3" s="21" t="s">
        <v>16</v>
      </c>
      <c r="G3" s="19">
        <v>4.7699999999999996</v>
      </c>
      <c r="H3" s="19" t="s">
        <v>12</v>
      </c>
      <c r="I3" s="19" t="s">
        <v>13</v>
      </c>
      <c r="J3" s="22" t="str">
        <f>VLOOKUP(Raw_Data!A3,Raw_Data!A3:I62,1)</f>
        <v>RID002</v>
      </c>
      <c r="K3" s="23" t="str">
        <f>_xlfn.XLOOKUP(A3, Raw_Data!A:A, Raw_Data!B:B)</f>
        <v>Rohit Sharma</v>
      </c>
      <c r="L3" s="22">
        <f>SUMIF(Raw_Data!A:A,Raw_Data!A3,Raw_Data!D:D)</f>
        <v>49</v>
      </c>
      <c r="M3" s="22" cm="1">
        <f t="array" ref="M3">SUMPRODUCT((Raw_Data!A$2:A$61=A3)*(Raw_Data!D$2:D$61)*(Raw_Data!E$2:E$61))</f>
        <v>5516</v>
      </c>
      <c r="N3" s="22">
        <f>COUNTIFS(Raw_Data!A:A, A3, Raw_Data!F:F, "Y")</f>
        <v>3</v>
      </c>
      <c r="O3" s="4">
        <f>COUNTIFS(Raw_Data!A:A,A3,Raw_Data!H:H,"Present")/COUNTIF(Raw_Data!A:A,A3)</f>
        <v>1</v>
      </c>
      <c r="P3" s="22">
        <f>SUMIF(Raw_Data!A:A, A3, Raw_Data!G:G)</f>
        <v>255.2</v>
      </c>
      <c r="Q3" s="22">
        <f t="shared" si="0"/>
        <v>5260.8</v>
      </c>
      <c r="R3" s="34">
        <f>SUMIF(Raw_Data!A:A,Raw_Data!A3,Raw_Data!D:D)/COUNTIFS(Raw_Data!A:A,Raw_Data!A3,Raw_Data!H:H,"Present")</f>
        <v>8.1666666666666661</v>
      </c>
      <c r="S3" s="35">
        <f>Table2[[#This Row],[Total_Earnings]]/COUNTIFS(Raw_Data!A:A,Raw_Data!A3,Raw_Data!H:H,"Present")</f>
        <v>919.33333333333337</v>
      </c>
      <c r="T3" s="2">
        <f>_xlfn.MAXIFS(Raw_Data!D:D,Raw_Data!A:A,A3)</f>
        <v>11</v>
      </c>
      <c r="U3" s="36">
        <f>COUNTIFS(Raw_Data!A:A,A3,Raw_Data!F:F,"Y")
/
COUNTIF(Raw_Data!A:A,A3)</f>
        <v>0.5</v>
      </c>
      <c r="V3" s="2" t="str">
        <f>_xlfn.XLOOKUP(A3,Raw_Data!A:A,Raw_Data!I:I)</f>
        <v>Rohini</v>
      </c>
    </row>
    <row r="4" spans="1:22" x14ac:dyDescent="0.4">
      <c r="A4" s="14" t="s">
        <v>17</v>
      </c>
      <c r="B4" s="14" t="s">
        <v>18</v>
      </c>
      <c r="C4" s="15">
        <v>46149</v>
      </c>
      <c r="D4" s="14">
        <v>12</v>
      </c>
      <c r="E4" s="14">
        <v>83</v>
      </c>
      <c r="F4" s="16" t="s">
        <v>11</v>
      </c>
      <c r="G4" s="14">
        <v>107.4</v>
      </c>
      <c r="H4" s="14" t="s">
        <v>12</v>
      </c>
      <c r="I4" s="14" t="s">
        <v>19</v>
      </c>
      <c r="J4" s="24" t="str">
        <f>VLOOKUP(Raw_Data!A4,Raw_Data!A4:I63,1)</f>
        <v>RID003</v>
      </c>
      <c r="K4" s="25" t="str">
        <f>_xlfn.XLOOKUP(A4, Raw_Data!A:A, Raw_Data!B:B)</f>
        <v>Vikas Yadav</v>
      </c>
      <c r="L4" s="24">
        <f>SUMIF(Raw_Data!A:A,Raw_Data!A4,Raw_Data!D:D)</f>
        <v>52</v>
      </c>
      <c r="M4" s="24" cm="1">
        <f t="array" ref="M4">SUMPRODUCT((Raw_Data!A$2:A$61=A4)*(Raw_Data!D$2:D$61)*(Raw_Data!E$2:E$61))</f>
        <v>5609</v>
      </c>
      <c r="N4" s="24">
        <f>COUNTIFS(Raw_Data!A:A, A4, Raw_Data!F:F, "Y")</f>
        <v>4</v>
      </c>
      <c r="O4" s="5">
        <f>COUNTIFS(Raw_Data!A:A,A4,Raw_Data!H:H,"Present")/COUNTIF(Raw_Data!A:A,A4)</f>
        <v>0.83333333333333337</v>
      </c>
      <c r="P4" s="24">
        <f>SUMIF(Raw_Data!A:A, A4, Raw_Data!G:G)</f>
        <v>462.97</v>
      </c>
      <c r="Q4" s="24">
        <f t="shared" si="0"/>
        <v>5146.03</v>
      </c>
      <c r="R4" s="34">
        <f>SUMIF(Raw_Data!A:A,Raw_Data!A4,Raw_Data!D:D)/COUNTIFS(Raw_Data!A:A,Raw_Data!A4,Raw_Data!H:H,"Present")</f>
        <v>10.4</v>
      </c>
      <c r="S4" s="35">
        <f>Table2[[#This Row],[Total_Earnings]]/COUNTIFS(Raw_Data!A:A,Raw_Data!A4,Raw_Data!H:H,"Present")</f>
        <v>1121.8</v>
      </c>
      <c r="T4" s="2">
        <f>_xlfn.MAXIFS(Raw_Data!D:D,Raw_Data!A:A,A4)</f>
        <v>12</v>
      </c>
      <c r="U4" s="36">
        <f>COUNTIFS(Raw_Data!A:A,A4,Raw_Data!F:F,"Y")
/
COUNTIF(Raw_Data!A:A,A4)</f>
        <v>0.66666666666666663</v>
      </c>
      <c r="V4" s="2" t="str">
        <f>_xlfn.XLOOKUP(A4,Raw_Data!A:A,Raw_Data!I:I)</f>
        <v>Punjabi Bagh</v>
      </c>
    </row>
    <row r="5" spans="1:22" x14ac:dyDescent="0.4">
      <c r="A5" s="19" t="s">
        <v>20</v>
      </c>
      <c r="B5" s="19" t="s">
        <v>21</v>
      </c>
      <c r="C5" s="20">
        <v>46160</v>
      </c>
      <c r="D5" s="19">
        <v>10</v>
      </c>
      <c r="E5" s="19">
        <v>115</v>
      </c>
      <c r="F5" s="21" t="s">
        <v>11</v>
      </c>
      <c r="G5" s="19">
        <v>113.82</v>
      </c>
      <c r="H5" s="19" t="s">
        <v>12</v>
      </c>
      <c r="I5" s="19" t="s">
        <v>22</v>
      </c>
      <c r="J5" s="22" t="str">
        <f>VLOOKUP(Raw_Data!A5,Raw_Data!A5:I64,1)</f>
        <v>RID004</v>
      </c>
      <c r="K5" s="23" t="str">
        <f>_xlfn.XLOOKUP(A5, Raw_Data!A:A, Raw_Data!B:B)</f>
        <v>Deepak Singh</v>
      </c>
      <c r="L5" s="22">
        <f>SUMIF(Raw_Data!A:A,Raw_Data!A5,Raw_Data!D:D)</f>
        <v>46</v>
      </c>
      <c r="M5" s="22" cm="1">
        <f t="array" ref="M5">SUMPRODUCT((Raw_Data!A$2:A$61=A5)*(Raw_Data!D$2:D$61)*(Raw_Data!E$2:E$61))</f>
        <v>4622</v>
      </c>
      <c r="N5" s="22">
        <f>COUNTIFS(Raw_Data!A:A, A5, Raw_Data!F:F, "Y")</f>
        <v>4</v>
      </c>
      <c r="O5" s="4">
        <f>COUNTIFS(Raw_Data!A:A,A5,Raw_Data!H:H,"Present")/COUNTIF(Raw_Data!A:A,A5)</f>
        <v>0.83333333333333337</v>
      </c>
      <c r="P5" s="22">
        <f>SUMIF(Raw_Data!A:A, A5, Raw_Data!G:G)</f>
        <v>409.36</v>
      </c>
      <c r="Q5" s="22">
        <f t="shared" si="0"/>
        <v>4212.6400000000003</v>
      </c>
      <c r="R5" s="34">
        <f>SUMIF(Raw_Data!A:A,Raw_Data!A5,Raw_Data!D:D)/COUNTIFS(Raw_Data!A:A,Raw_Data!A5,Raw_Data!H:H,"Present")</f>
        <v>9.1999999999999993</v>
      </c>
      <c r="S5" s="35">
        <f>Table2[[#This Row],[Total_Earnings]]/COUNTIFS(Raw_Data!A:A,Raw_Data!A5,Raw_Data!H:H,"Present")</f>
        <v>924.4</v>
      </c>
      <c r="T5" s="2">
        <f>_xlfn.MAXIFS(Raw_Data!D:D,Raw_Data!A:A,A5)</f>
        <v>12</v>
      </c>
      <c r="U5" s="36">
        <f>COUNTIFS(Raw_Data!A:A,A5,Raw_Data!F:F,"Y")
/
COUNTIF(Raw_Data!A:A,A5)</f>
        <v>0.66666666666666663</v>
      </c>
      <c r="V5" s="2" t="str">
        <f>_xlfn.XLOOKUP(A5,Raw_Data!A:A,Raw_Data!I:I)</f>
        <v>Dwarka</v>
      </c>
    </row>
    <row r="6" spans="1:22" x14ac:dyDescent="0.4">
      <c r="A6" s="14" t="s">
        <v>23</v>
      </c>
      <c r="B6" s="14" t="s">
        <v>24</v>
      </c>
      <c r="C6" s="15">
        <v>46165</v>
      </c>
      <c r="D6" s="14">
        <v>7</v>
      </c>
      <c r="E6" s="14">
        <v>99</v>
      </c>
      <c r="F6" s="16" t="s">
        <v>11</v>
      </c>
      <c r="G6" s="14">
        <v>143.58000000000001</v>
      </c>
      <c r="H6" s="14" t="s">
        <v>12</v>
      </c>
      <c r="I6" s="14" t="s">
        <v>25</v>
      </c>
      <c r="J6" s="24" t="str">
        <f>VLOOKUP(Raw_Data!A6,Raw_Data!A6:I65,1)</f>
        <v>RID005</v>
      </c>
      <c r="K6" s="25" t="str">
        <f>_xlfn.XLOOKUP(A6, Raw_Data!A:A, Raw_Data!B:B)</f>
        <v>Saurabh Gupta</v>
      </c>
      <c r="L6" s="24">
        <f>SUMIF(Raw_Data!A:A,Raw_Data!A6,Raw_Data!D:D)</f>
        <v>30</v>
      </c>
      <c r="M6" s="24" cm="1">
        <f t="array" ref="M6">SUMPRODUCT((Raw_Data!A$2:A$61=A6)*(Raw_Data!D$2:D$61)*(Raw_Data!E$2:E$61))</f>
        <v>2851</v>
      </c>
      <c r="N6" s="24">
        <f>COUNTIFS(Raw_Data!A:A, A6, Raw_Data!F:F, "Y")</f>
        <v>3</v>
      </c>
      <c r="O6" s="5">
        <f>COUNTIFS(Raw_Data!A:A,A6,Raw_Data!H:H,"Present")/COUNTIF(Raw_Data!A:A,A6)</f>
        <v>0.83333333333333337</v>
      </c>
      <c r="P6" s="24">
        <f>SUMIF(Raw_Data!A:A, A6, Raw_Data!G:G)</f>
        <v>589.1</v>
      </c>
      <c r="Q6" s="24">
        <f t="shared" si="0"/>
        <v>2261.9</v>
      </c>
      <c r="R6" s="34">
        <f>SUMIF(Raw_Data!A:A,Raw_Data!A6,Raw_Data!D:D)/COUNTIFS(Raw_Data!A:A,Raw_Data!A6,Raw_Data!H:H,"Present")</f>
        <v>6</v>
      </c>
      <c r="S6" s="35">
        <f>Table2[[#This Row],[Total_Earnings]]/COUNTIFS(Raw_Data!A:A,Raw_Data!A6,Raw_Data!H:H,"Present")</f>
        <v>570.20000000000005</v>
      </c>
      <c r="T6" s="2">
        <f>_xlfn.MAXIFS(Raw_Data!D:D,Raw_Data!A:A,A6)</f>
        <v>10</v>
      </c>
      <c r="U6" s="36">
        <f>COUNTIFS(Raw_Data!A:A,A6,Raw_Data!F:F,"Y")
/
COUNTIF(Raw_Data!A:A,A6)</f>
        <v>0.5</v>
      </c>
      <c r="V6" s="2" t="str">
        <f>_xlfn.XLOOKUP(A6,Raw_Data!A:A,Raw_Data!I:I)</f>
        <v>Janakpuri</v>
      </c>
    </row>
    <row r="7" spans="1:22" x14ac:dyDescent="0.4">
      <c r="A7" s="19" t="s">
        <v>26</v>
      </c>
      <c r="B7" s="19" t="s">
        <v>27</v>
      </c>
      <c r="C7" s="20">
        <v>46146</v>
      </c>
      <c r="D7" s="19">
        <v>4</v>
      </c>
      <c r="E7" s="19">
        <v>125</v>
      </c>
      <c r="F7" s="21" t="s">
        <v>16</v>
      </c>
      <c r="G7" s="19">
        <v>90.56</v>
      </c>
      <c r="H7" s="19" t="s">
        <v>12</v>
      </c>
      <c r="I7" s="19" t="s">
        <v>13</v>
      </c>
      <c r="J7" s="22" t="str">
        <f>VLOOKUP(Raw_Data!A7,Raw_Data!A7:I66,1)</f>
        <v>RID006</v>
      </c>
      <c r="K7" s="23" t="str">
        <f>_xlfn.XLOOKUP(A7, Raw_Data!A:A, Raw_Data!B:B)</f>
        <v>Ankit Verma</v>
      </c>
      <c r="L7" s="22">
        <f>SUMIF(Raw_Data!A:A,Raw_Data!A7,Raw_Data!D:D)</f>
        <v>50</v>
      </c>
      <c r="M7" s="22" cm="1">
        <f t="array" ref="M7">SUMPRODUCT((Raw_Data!A$2:A$61=A7)*(Raw_Data!D$2:D$61)*(Raw_Data!E$2:E$61))</f>
        <v>5237</v>
      </c>
      <c r="N7" s="22">
        <f>COUNTIFS(Raw_Data!A:A, A7, Raw_Data!F:F, "Y")</f>
        <v>4</v>
      </c>
      <c r="O7" s="4">
        <f>COUNTIFS(Raw_Data!A:A,A7,Raw_Data!H:H,"Present")/COUNTIF(Raw_Data!A:A,A7)</f>
        <v>1</v>
      </c>
      <c r="P7" s="22">
        <f>SUMIF(Raw_Data!A:A, A7, Raw_Data!G:G)</f>
        <v>422.47</v>
      </c>
      <c r="Q7" s="22">
        <f t="shared" si="0"/>
        <v>4814.53</v>
      </c>
      <c r="R7" s="34">
        <f>SUMIF(Raw_Data!A:A,Raw_Data!A7,Raw_Data!D:D)/COUNTIFS(Raw_Data!A:A,Raw_Data!A7,Raw_Data!H:H,"Present")</f>
        <v>8.3333333333333339</v>
      </c>
      <c r="S7" s="35">
        <f>Table2[[#This Row],[Total_Earnings]]/COUNTIFS(Raw_Data!A:A,Raw_Data!A7,Raw_Data!H:H,"Present")</f>
        <v>872.83333333333337</v>
      </c>
      <c r="T7" s="2">
        <f>_xlfn.MAXIFS(Raw_Data!D:D,Raw_Data!A:A,A7)</f>
        <v>12</v>
      </c>
      <c r="U7" s="36">
        <f>COUNTIFS(Raw_Data!A:A,A7,Raw_Data!F:F,"Y")
/
COUNTIF(Raw_Data!A:A,A7)</f>
        <v>0.66666666666666663</v>
      </c>
      <c r="V7" s="2" t="str">
        <f>_xlfn.XLOOKUP(A7,Raw_Data!A:A,Raw_Data!I:I)</f>
        <v>Rohini</v>
      </c>
    </row>
    <row r="8" spans="1:22" x14ac:dyDescent="0.4">
      <c r="A8" s="14" t="s">
        <v>28</v>
      </c>
      <c r="B8" s="14" t="s">
        <v>29</v>
      </c>
      <c r="C8" s="15">
        <v>46166</v>
      </c>
      <c r="D8" s="14">
        <v>4</v>
      </c>
      <c r="E8" s="14">
        <v>128</v>
      </c>
      <c r="F8" s="16" t="s">
        <v>11</v>
      </c>
      <c r="G8" s="14">
        <v>82.81</v>
      </c>
      <c r="H8" s="14" t="s">
        <v>12</v>
      </c>
      <c r="I8" s="14" t="s">
        <v>19</v>
      </c>
      <c r="J8" s="24" t="str">
        <f>VLOOKUP(Raw_Data!A8,Raw_Data!A8:I67,1)</f>
        <v>RID007</v>
      </c>
      <c r="K8" s="25" t="str">
        <f>_xlfn.XLOOKUP(A8, Raw_Data!A:A, Raw_Data!B:B)</f>
        <v>Mohit Kumar</v>
      </c>
      <c r="L8" s="24">
        <f>SUMIF(Raw_Data!A:A,Raw_Data!A8,Raw_Data!D:D)</f>
        <v>37</v>
      </c>
      <c r="M8" s="24" cm="1">
        <f t="array" ref="M8">SUMPRODUCT((Raw_Data!A$2:A$61=A8)*(Raw_Data!D$2:D$61)*(Raw_Data!E$2:E$61))</f>
        <v>4881</v>
      </c>
      <c r="N8" s="24">
        <f>COUNTIFS(Raw_Data!A:A, A8, Raw_Data!F:F, "Y")</f>
        <v>3</v>
      </c>
      <c r="O8" s="5">
        <f>COUNTIFS(Raw_Data!A:A,A8,Raw_Data!H:H,"Present")/COUNTIF(Raw_Data!A:A,A8)</f>
        <v>1</v>
      </c>
      <c r="P8" s="24">
        <f>SUMIF(Raw_Data!A:A, A8, Raw_Data!G:G)</f>
        <v>469.15</v>
      </c>
      <c r="Q8" s="24">
        <f t="shared" si="0"/>
        <v>4411.8500000000004</v>
      </c>
      <c r="R8" s="34">
        <f>SUMIF(Raw_Data!A:A,Raw_Data!A8,Raw_Data!D:D)/COUNTIFS(Raw_Data!A:A,Raw_Data!A8,Raw_Data!H:H,"Present")</f>
        <v>6.166666666666667</v>
      </c>
      <c r="S8" s="35">
        <f>Table2[[#This Row],[Total_Earnings]]/COUNTIFS(Raw_Data!A:A,Raw_Data!A8,Raw_Data!H:H,"Present")</f>
        <v>813.5</v>
      </c>
      <c r="T8" s="2">
        <f>_xlfn.MAXIFS(Raw_Data!D:D,Raw_Data!A:A,A8)</f>
        <v>9</v>
      </c>
      <c r="U8" s="36">
        <f>COUNTIFS(Raw_Data!A:A,A8,Raw_Data!F:F,"Y")
/
COUNTIF(Raw_Data!A:A,A8)</f>
        <v>0.5</v>
      </c>
      <c r="V8" s="2" t="str">
        <f>_xlfn.XLOOKUP(A8,Raw_Data!A:A,Raw_Data!I:I)</f>
        <v>Punjabi Bagh</v>
      </c>
    </row>
    <row r="9" spans="1:22" x14ac:dyDescent="0.4">
      <c r="A9" s="19" t="s">
        <v>30</v>
      </c>
      <c r="B9" s="19" t="s">
        <v>31</v>
      </c>
      <c r="C9" s="20">
        <v>46162</v>
      </c>
      <c r="D9" s="19">
        <v>8</v>
      </c>
      <c r="E9" s="19">
        <v>104</v>
      </c>
      <c r="F9" s="21" t="s">
        <v>11</v>
      </c>
      <c r="G9" s="19">
        <v>6.87</v>
      </c>
      <c r="H9" s="19" t="s">
        <v>12</v>
      </c>
      <c r="I9" s="19" t="s">
        <v>22</v>
      </c>
      <c r="J9" s="22" t="str">
        <f>VLOOKUP(Raw_Data!A9,Raw_Data!A9:I68,1)</f>
        <v>RID008</v>
      </c>
      <c r="K9" s="23" t="str">
        <f>_xlfn.XLOOKUP(A9, Raw_Data!A:A, Raw_Data!B:B)</f>
        <v>Rahul Jain</v>
      </c>
      <c r="L9" s="22">
        <f>SUMIF(Raw_Data!A:A,Raw_Data!A9,Raw_Data!D:D)</f>
        <v>42</v>
      </c>
      <c r="M9" s="22" cm="1">
        <f t="array" ref="M9">SUMPRODUCT((Raw_Data!A$2:A$61=A9)*(Raw_Data!D$2:D$61)*(Raw_Data!E$2:E$61))</f>
        <v>4641</v>
      </c>
      <c r="N9" s="22">
        <f>COUNTIFS(Raw_Data!A:A, A9, Raw_Data!F:F, "Y")</f>
        <v>6</v>
      </c>
      <c r="O9" s="4">
        <f>COUNTIFS(Raw_Data!A:A,A9,Raw_Data!H:H,"Present")/COUNTIF(Raw_Data!A:A,A9)</f>
        <v>1</v>
      </c>
      <c r="P9" s="22">
        <f>SUMIF(Raw_Data!A:A, A9, Raw_Data!G:G)</f>
        <v>484.25000000000006</v>
      </c>
      <c r="Q9" s="22">
        <f t="shared" si="0"/>
        <v>4156.75</v>
      </c>
      <c r="R9" s="34">
        <f>SUMIF(Raw_Data!A:A,Raw_Data!A9,Raw_Data!D:D)/COUNTIFS(Raw_Data!A:A,Raw_Data!A9,Raw_Data!H:H,"Present")</f>
        <v>7</v>
      </c>
      <c r="S9" s="35">
        <f>Table2[[#This Row],[Total_Earnings]]/COUNTIFS(Raw_Data!A:A,Raw_Data!A9,Raw_Data!H:H,"Present")</f>
        <v>773.5</v>
      </c>
      <c r="T9" s="2">
        <f>_xlfn.MAXIFS(Raw_Data!D:D,Raw_Data!A:A,A9)</f>
        <v>12</v>
      </c>
      <c r="U9" s="36">
        <f>COUNTIFS(Raw_Data!A:A,A9,Raw_Data!F:F,"Y")
/
COUNTIF(Raw_Data!A:A,A9)</f>
        <v>1</v>
      </c>
      <c r="V9" s="2" t="str">
        <f>_xlfn.XLOOKUP(A9,Raw_Data!A:A,Raw_Data!I:I)</f>
        <v>Dwarka</v>
      </c>
    </row>
    <row r="10" spans="1:22" x14ac:dyDescent="0.4">
      <c r="A10" s="14" t="s">
        <v>32</v>
      </c>
      <c r="B10" s="14" t="s">
        <v>33</v>
      </c>
      <c r="C10" s="15">
        <v>46167</v>
      </c>
      <c r="D10" s="14">
        <v>4</v>
      </c>
      <c r="E10" s="14">
        <v>109</v>
      </c>
      <c r="F10" s="16" t="s">
        <v>11</v>
      </c>
      <c r="G10" s="14">
        <v>57.02</v>
      </c>
      <c r="H10" s="14" t="s">
        <v>12</v>
      </c>
      <c r="I10" s="14" t="s">
        <v>34</v>
      </c>
      <c r="J10" s="24" t="str">
        <f>VLOOKUP(Raw_Data!A10,Raw_Data!A10:I69,1)</f>
        <v>RID009</v>
      </c>
      <c r="K10" s="25" t="str">
        <f>_xlfn.XLOOKUP(A10, Raw_Data!A:A, Raw_Data!B:B)</f>
        <v>Nitin Chaudhary</v>
      </c>
      <c r="L10" s="24">
        <f>SUMIF(Raw_Data!A:A,Raw_Data!A10,Raw_Data!D:D)</f>
        <v>42</v>
      </c>
      <c r="M10" s="24" cm="1">
        <f t="array" ref="M10">SUMPRODUCT((Raw_Data!A$2:A$61=A10)*(Raw_Data!D$2:D$61)*(Raw_Data!E$2:E$61))</f>
        <v>4964</v>
      </c>
      <c r="N10" s="24">
        <f>COUNTIFS(Raw_Data!A:A, A10, Raw_Data!F:F, "Y")</f>
        <v>3</v>
      </c>
      <c r="O10" s="5">
        <f>COUNTIFS(Raw_Data!A:A,A10,Raw_Data!H:H,"Present")/COUNTIF(Raw_Data!A:A,A10)</f>
        <v>1</v>
      </c>
      <c r="P10" s="24">
        <f>SUMIF(Raw_Data!A:A, A10, Raw_Data!G:G)</f>
        <v>396.72</v>
      </c>
      <c r="Q10" s="24">
        <f t="shared" si="0"/>
        <v>4567.28</v>
      </c>
      <c r="R10" s="34">
        <f>SUMIF(Raw_Data!A:A,Raw_Data!A10,Raw_Data!D:D)/COUNTIFS(Raw_Data!A:A,Raw_Data!A10,Raw_Data!H:H,"Present")</f>
        <v>7</v>
      </c>
      <c r="S10" s="35">
        <f>Table2[[#This Row],[Total_Earnings]]/COUNTIFS(Raw_Data!A:A,Raw_Data!A10,Raw_Data!H:H,"Present")</f>
        <v>827.33333333333337</v>
      </c>
      <c r="T10" s="2">
        <f>_xlfn.MAXIFS(Raw_Data!D:D,Raw_Data!A:A,A10)</f>
        <v>11</v>
      </c>
      <c r="U10" s="36">
        <f>COUNTIFS(Raw_Data!A:A,A10,Raw_Data!F:F,"Y")
/
COUNTIF(Raw_Data!A:A,A10)</f>
        <v>0.5</v>
      </c>
      <c r="V10" s="2" t="str">
        <f>_xlfn.XLOOKUP(A10,Raw_Data!A:A,Raw_Data!I:I)</f>
        <v>Pitampura</v>
      </c>
    </row>
    <row r="11" spans="1:22" x14ac:dyDescent="0.4">
      <c r="A11" s="19" t="s">
        <v>35</v>
      </c>
      <c r="B11" s="19" t="s">
        <v>36</v>
      </c>
      <c r="C11" s="20">
        <v>46163</v>
      </c>
      <c r="D11" s="19">
        <v>5</v>
      </c>
      <c r="E11" s="19">
        <v>127</v>
      </c>
      <c r="F11" s="21" t="s">
        <v>16</v>
      </c>
      <c r="G11" s="19">
        <v>31.43</v>
      </c>
      <c r="H11" s="19" t="s">
        <v>12</v>
      </c>
      <c r="I11" s="19" t="s">
        <v>25</v>
      </c>
      <c r="J11" s="22" t="str">
        <f>VLOOKUP(Raw_Data!A11,Raw_Data!A11:I70,1)</f>
        <v>RID010</v>
      </c>
      <c r="K11" s="23" t="str">
        <f>_xlfn.XLOOKUP(A11, Raw_Data!A:A, Raw_Data!B:B)</f>
        <v>Pankaj Malik</v>
      </c>
      <c r="L11" s="22">
        <f>SUMIF(Raw_Data!A:A,Raw_Data!A11,Raw_Data!D:D)</f>
        <v>23</v>
      </c>
      <c r="M11" s="22" cm="1">
        <f t="array" ref="M11">SUMPRODUCT((Raw_Data!A$2:A$61=A11)*(Raw_Data!D$2:D$61)*(Raw_Data!E$2:E$61))</f>
        <v>2852</v>
      </c>
      <c r="N11" s="22">
        <f>COUNTIFS(Raw_Data!A:A, A11, Raw_Data!F:F, "Y")</f>
        <v>2</v>
      </c>
      <c r="O11" s="4">
        <f>COUNTIFS(Raw_Data!A:A,A11,Raw_Data!H:H,"Present")/COUNTIF(Raw_Data!A:A,A11)</f>
        <v>0.66666666666666663</v>
      </c>
      <c r="P11" s="22">
        <f>SUMIF(Raw_Data!A:A, A11, Raw_Data!G:G)</f>
        <v>161.67000000000002</v>
      </c>
      <c r="Q11" s="22">
        <f t="shared" si="0"/>
        <v>2690.33</v>
      </c>
      <c r="R11" s="34">
        <f>SUMIF(Raw_Data!A:A,Raw_Data!A11,Raw_Data!D:D)/COUNTIFS(Raw_Data!A:A,Raw_Data!A11,Raw_Data!H:H,"Present")</f>
        <v>5.75</v>
      </c>
      <c r="S11" s="35">
        <f>Table2[[#This Row],[Total_Earnings]]/COUNTIFS(Raw_Data!A:A,Raw_Data!A11,Raw_Data!H:H,"Present")</f>
        <v>713</v>
      </c>
      <c r="T11" s="2">
        <f>_xlfn.MAXIFS(Raw_Data!D:D,Raw_Data!A:A,A11)</f>
        <v>7</v>
      </c>
      <c r="U11" s="36">
        <f>COUNTIFS(Raw_Data!A:A,A11,Raw_Data!F:F,"Y")
/
COUNTIF(Raw_Data!A:A,A11)</f>
        <v>0.33333333333333331</v>
      </c>
      <c r="V11" s="2" t="str">
        <f>_xlfn.XLOOKUP(A11,Raw_Data!A:A,Raw_Data!I:I)</f>
        <v>Janakpuri</v>
      </c>
    </row>
    <row r="12" spans="1:22" x14ac:dyDescent="0.4">
      <c r="A12" s="14" t="s">
        <v>9</v>
      </c>
      <c r="B12" s="14" t="s">
        <v>10</v>
      </c>
      <c r="C12" s="15">
        <v>46165</v>
      </c>
      <c r="D12" s="14">
        <v>0</v>
      </c>
      <c r="E12" s="14">
        <v>0</v>
      </c>
      <c r="F12" s="16" t="s">
        <v>16</v>
      </c>
      <c r="G12" s="14">
        <v>0</v>
      </c>
      <c r="H12" s="14" t="s">
        <v>37</v>
      </c>
      <c r="I12" s="14" t="s">
        <v>19</v>
      </c>
      <c r="J12" s="24" t="str">
        <f>VLOOKUP(Raw_Data!A12,Raw_Data!A12:I71,1)</f>
        <v>RID001</v>
      </c>
      <c r="K12" s="25" t="str">
        <f>_xlfn.XLOOKUP(A12, Raw_Data!A:A, Raw_Data!B:B)</f>
        <v>Aman Kumar</v>
      </c>
      <c r="L12" s="24">
        <f>SUMIF(Raw_Data!A:A,Raw_Data!A12,Raw_Data!D:D)</f>
        <v>32</v>
      </c>
      <c r="M12" s="24" cm="1">
        <f t="array" ref="M12">SUMPRODUCT((Raw_Data!A$2:A$61=A12)*(Raw_Data!D$2:D$61)*(Raw_Data!E$2:E$61))</f>
        <v>3860</v>
      </c>
      <c r="N12" s="24">
        <f>COUNTIFS(Raw_Data!A:A, A12, Raw_Data!F:F, "Y")</f>
        <v>3</v>
      </c>
      <c r="O12" s="5">
        <f>COUNTIFS(Raw_Data!A:A,A12,Raw_Data!H:H,"Present")/COUNTIF(Raw_Data!A:A,A12)</f>
        <v>0.66666666666666663</v>
      </c>
      <c r="P12" s="24">
        <f>SUMIF(Raw_Data!A:A, A12, Raw_Data!G:G)</f>
        <v>100.48</v>
      </c>
      <c r="Q12" s="24">
        <f t="shared" si="0"/>
        <v>3759.52</v>
      </c>
      <c r="R12" s="34">
        <f>SUMIF(Raw_Data!A:A,Raw_Data!A12,Raw_Data!D:D)/COUNTIFS(Raw_Data!A:A,Raw_Data!A12,Raw_Data!H:H,"Present")</f>
        <v>8</v>
      </c>
      <c r="S12" s="35">
        <f>Table2[[#This Row],[Total_Earnings]]/COUNTIFS(Raw_Data!A:A,Raw_Data!A12,Raw_Data!H:H,"Present")</f>
        <v>965</v>
      </c>
      <c r="T12" s="2">
        <f>_xlfn.MAXIFS(Raw_Data!D:D,Raw_Data!A:A,A12)</f>
        <v>11</v>
      </c>
      <c r="U12" s="36">
        <f>COUNTIFS(Raw_Data!A:A,A12,Raw_Data!F:F,"Y")
/
COUNTIF(Raw_Data!A:A,A12)</f>
        <v>0.5</v>
      </c>
      <c r="V12" s="2" t="str">
        <f>_xlfn.XLOOKUP(A12,Raw_Data!A:A,Raw_Data!I:I)</f>
        <v>Rohini</v>
      </c>
    </row>
    <row r="13" spans="1:22" x14ac:dyDescent="0.4">
      <c r="A13" s="19" t="s">
        <v>14</v>
      </c>
      <c r="B13" s="19" t="s">
        <v>15</v>
      </c>
      <c r="C13" s="20">
        <v>46145</v>
      </c>
      <c r="D13" s="19">
        <v>5</v>
      </c>
      <c r="E13" s="19">
        <v>148</v>
      </c>
      <c r="F13" s="21" t="s">
        <v>11</v>
      </c>
      <c r="G13" s="19">
        <v>24.51</v>
      </c>
      <c r="H13" s="19" t="s">
        <v>12</v>
      </c>
      <c r="I13" s="19" t="s">
        <v>34</v>
      </c>
      <c r="J13" s="22" t="str">
        <f>VLOOKUP(Raw_Data!A13,Raw_Data!A13:I72,1)</f>
        <v>RID002</v>
      </c>
      <c r="K13" s="23" t="str">
        <f>_xlfn.XLOOKUP(A13, Raw_Data!A:A, Raw_Data!B:B)</f>
        <v>Rohit Sharma</v>
      </c>
      <c r="L13" s="22">
        <f>SUMIF(Raw_Data!A:A,Raw_Data!A13,Raw_Data!D:D)</f>
        <v>49</v>
      </c>
      <c r="M13" s="22" cm="1">
        <f t="array" ref="M13">SUMPRODUCT((Raw_Data!A$2:A$61=A13)*(Raw_Data!D$2:D$61)*(Raw_Data!E$2:E$61))</f>
        <v>5516</v>
      </c>
      <c r="N13" s="22">
        <f>COUNTIFS(Raw_Data!A:A, A13, Raw_Data!F:F, "Y")</f>
        <v>3</v>
      </c>
      <c r="O13" s="4">
        <f>COUNTIFS(Raw_Data!A:A,A13,Raw_Data!H:H,"Present")/COUNTIF(Raw_Data!A:A,A13)</f>
        <v>1</v>
      </c>
      <c r="P13" s="22">
        <f>SUMIF(Raw_Data!A:A, A13, Raw_Data!G:G)</f>
        <v>255.2</v>
      </c>
      <c r="Q13" s="22">
        <f t="shared" si="0"/>
        <v>5260.8</v>
      </c>
      <c r="R13" s="34">
        <f>SUMIF(Raw_Data!A:A,Raw_Data!A13,Raw_Data!D:D)/COUNTIFS(Raw_Data!A:A,Raw_Data!A13,Raw_Data!H:H,"Present")</f>
        <v>8.1666666666666661</v>
      </c>
      <c r="S13" s="35">
        <f>Table2[[#This Row],[Total_Earnings]]/COUNTIFS(Raw_Data!A:A,Raw_Data!A13,Raw_Data!H:H,"Present")</f>
        <v>919.33333333333337</v>
      </c>
      <c r="T13" s="2">
        <f>_xlfn.MAXIFS(Raw_Data!D:D,Raw_Data!A:A,A13)</f>
        <v>11</v>
      </c>
      <c r="U13" s="36">
        <f>COUNTIFS(Raw_Data!A:A,A13,Raw_Data!F:F,"Y")
/
COUNTIF(Raw_Data!A:A,A13)</f>
        <v>0.5</v>
      </c>
      <c r="V13" s="2" t="str">
        <f>_xlfn.XLOOKUP(A13,Raw_Data!A:A,Raw_Data!I:I)</f>
        <v>Rohini</v>
      </c>
    </row>
    <row r="14" spans="1:22" x14ac:dyDescent="0.4">
      <c r="A14" s="14" t="s">
        <v>17</v>
      </c>
      <c r="B14" s="14" t="s">
        <v>18</v>
      </c>
      <c r="C14" s="15">
        <v>46151</v>
      </c>
      <c r="D14" s="14">
        <v>0</v>
      </c>
      <c r="E14" s="14">
        <v>0</v>
      </c>
      <c r="F14" s="16" t="s">
        <v>16</v>
      </c>
      <c r="G14" s="14">
        <v>0</v>
      </c>
      <c r="H14" s="14" t="s">
        <v>37</v>
      </c>
      <c r="I14" s="14" t="s">
        <v>19</v>
      </c>
      <c r="J14" s="24" t="str">
        <f>VLOOKUP(Raw_Data!A14,Raw_Data!A14:I73,1)</f>
        <v>RID003</v>
      </c>
      <c r="K14" s="25" t="str">
        <f>_xlfn.XLOOKUP(A14, Raw_Data!A:A, Raw_Data!B:B)</f>
        <v>Vikas Yadav</v>
      </c>
      <c r="L14" s="24">
        <f>SUMIF(Raw_Data!A:A,Raw_Data!A14,Raw_Data!D:D)</f>
        <v>52</v>
      </c>
      <c r="M14" s="24" cm="1">
        <f t="array" ref="M14">SUMPRODUCT((Raw_Data!A$2:A$61=A14)*(Raw_Data!D$2:D$61)*(Raw_Data!E$2:E$61))</f>
        <v>5609</v>
      </c>
      <c r="N14" s="24">
        <f>COUNTIFS(Raw_Data!A:A, A14, Raw_Data!F:F, "Y")</f>
        <v>4</v>
      </c>
      <c r="O14" s="5">
        <f>COUNTIFS(Raw_Data!A:A,A14,Raw_Data!H:H,"Present")/COUNTIF(Raw_Data!A:A,A14)</f>
        <v>0.83333333333333337</v>
      </c>
      <c r="P14" s="24">
        <f>SUMIF(Raw_Data!A:A, A14, Raw_Data!G:G)</f>
        <v>462.97</v>
      </c>
      <c r="Q14" s="24">
        <f t="shared" si="0"/>
        <v>5146.03</v>
      </c>
      <c r="R14" s="34">
        <f>SUMIF(Raw_Data!A:A,Raw_Data!A14,Raw_Data!D:D)/COUNTIFS(Raw_Data!A:A,Raw_Data!A14,Raw_Data!H:H,"Present")</f>
        <v>10.4</v>
      </c>
      <c r="S14" s="35">
        <f>Table2[[#This Row],[Total_Earnings]]/COUNTIFS(Raw_Data!A:A,Raw_Data!A14,Raw_Data!H:H,"Present")</f>
        <v>1121.8</v>
      </c>
      <c r="T14" s="2">
        <f>_xlfn.MAXIFS(Raw_Data!D:D,Raw_Data!A:A,A14)</f>
        <v>12</v>
      </c>
      <c r="U14" s="36">
        <f>COUNTIFS(Raw_Data!A:A,A14,Raw_Data!F:F,"Y")
/
COUNTIF(Raw_Data!A:A,A14)</f>
        <v>0.66666666666666663</v>
      </c>
      <c r="V14" s="2" t="str">
        <f>_xlfn.XLOOKUP(A14,Raw_Data!A:A,Raw_Data!I:I)</f>
        <v>Punjabi Bagh</v>
      </c>
    </row>
    <row r="15" spans="1:22" x14ac:dyDescent="0.4">
      <c r="A15" s="19" t="s">
        <v>20</v>
      </c>
      <c r="B15" s="19" t="s">
        <v>21</v>
      </c>
      <c r="C15" s="20">
        <v>46165</v>
      </c>
      <c r="D15" s="19">
        <v>8</v>
      </c>
      <c r="E15" s="19">
        <v>87</v>
      </c>
      <c r="F15" s="21" t="s">
        <v>11</v>
      </c>
      <c r="G15" s="19">
        <v>123.27</v>
      </c>
      <c r="H15" s="19" t="s">
        <v>12</v>
      </c>
      <c r="I15" s="19" t="s">
        <v>25</v>
      </c>
      <c r="J15" s="22" t="str">
        <f>VLOOKUP(Raw_Data!A15,Raw_Data!A15:I74,1)</f>
        <v>RID004</v>
      </c>
      <c r="K15" s="23" t="str">
        <f>_xlfn.XLOOKUP(A15, Raw_Data!A:A, Raw_Data!B:B)</f>
        <v>Deepak Singh</v>
      </c>
      <c r="L15" s="22">
        <f>SUMIF(Raw_Data!A:A,Raw_Data!A15,Raw_Data!D:D)</f>
        <v>46</v>
      </c>
      <c r="M15" s="22" cm="1">
        <f t="array" ref="M15">SUMPRODUCT((Raw_Data!A$2:A$61=A15)*(Raw_Data!D$2:D$61)*(Raw_Data!E$2:E$61))</f>
        <v>4622</v>
      </c>
      <c r="N15" s="22">
        <f>COUNTIFS(Raw_Data!A:A, A15, Raw_Data!F:F, "Y")</f>
        <v>4</v>
      </c>
      <c r="O15" s="4">
        <f>COUNTIFS(Raw_Data!A:A,A15,Raw_Data!H:H,"Present")/COUNTIF(Raw_Data!A:A,A15)</f>
        <v>0.83333333333333337</v>
      </c>
      <c r="P15" s="22">
        <f>SUMIF(Raw_Data!A:A, A15, Raw_Data!G:G)</f>
        <v>409.36</v>
      </c>
      <c r="Q15" s="22">
        <f t="shared" si="0"/>
        <v>4212.6400000000003</v>
      </c>
      <c r="R15" s="34">
        <f>SUMIF(Raw_Data!A:A,Raw_Data!A15,Raw_Data!D:D)/COUNTIFS(Raw_Data!A:A,Raw_Data!A15,Raw_Data!H:H,"Present")</f>
        <v>9.1999999999999993</v>
      </c>
      <c r="S15" s="35">
        <f>Table2[[#This Row],[Total_Earnings]]/COUNTIFS(Raw_Data!A:A,Raw_Data!A15,Raw_Data!H:H,"Present")</f>
        <v>924.4</v>
      </c>
      <c r="T15" s="2">
        <f>_xlfn.MAXIFS(Raw_Data!D:D,Raw_Data!A:A,A15)</f>
        <v>12</v>
      </c>
      <c r="U15" s="36">
        <f>COUNTIFS(Raw_Data!A:A,A15,Raw_Data!F:F,"Y")
/
COUNTIF(Raw_Data!A:A,A15)</f>
        <v>0.66666666666666663</v>
      </c>
      <c r="V15" s="2" t="str">
        <f>_xlfn.XLOOKUP(A15,Raw_Data!A:A,Raw_Data!I:I)</f>
        <v>Dwarka</v>
      </c>
    </row>
    <row r="16" spans="1:22" x14ac:dyDescent="0.4">
      <c r="A16" s="14" t="s">
        <v>23</v>
      </c>
      <c r="B16" s="14" t="s">
        <v>24</v>
      </c>
      <c r="C16" s="15">
        <v>46155</v>
      </c>
      <c r="D16" s="14">
        <v>6</v>
      </c>
      <c r="E16" s="14">
        <v>120</v>
      </c>
      <c r="F16" s="16" t="s">
        <v>11</v>
      </c>
      <c r="G16" s="14">
        <v>98.32</v>
      </c>
      <c r="H16" s="14" t="s">
        <v>12</v>
      </c>
      <c r="I16" s="14" t="s">
        <v>34</v>
      </c>
      <c r="J16" s="24" t="str">
        <f>VLOOKUP(Raw_Data!A16,Raw_Data!A16:I75,1)</f>
        <v>RID005</v>
      </c>
      <c r="K16" s="25" t="str">
        <f>_xlfn.XLOOKUP(A16, Raw_Data!A:A, Raw_Data!B:B)</f>
        <v>Saurabh Gupta</v>
      </c>
      <c r="L16" s="24">
        <f>SUMIF(Raw_Data!A:A,Raw_Data!A16,Raw_Data!D:D)</f>
        <v>30</v>
      </c>
      <c r="M16" s="24" cm="1">
        <f t="array" ref="M16">SUMPRODUCT((Raw_Data!A$2:A$61=A16)*(Raw_Data!D$2:D$61)*(Raw_Data!E$2:E$61))</f>
        <v>2851</v>
      </c>
      <c r="N16" s="24">
        <f>COUNTIFS(Raw_Data!A:A, A16, Raw_Data!F:F, "Y")</f>
        <v>3</v>
      </c>
      <c r="O16" s="5">
        <f>COUNTIFS(Raw_Data!A:A,A16,Raw_Data!H:H,"Present")/COUNTIF(Raw_Data!A:A,A16)</f>
        <v>0.83333333333333337</v>
      </c>
      <c r="P16" s="24">
        <f>SUMIF(Raw_Data!A:A, A16, Raw_Data!G:G)</f>
        <v>589.1</v>
      </c>
      <c r="Q16" s="24">
        <f t="shared" si="0"/>
        <v>2261.9</v>
      </c>
      <c r="R16" s="34">
        <f>SUMIF(Raw_Data!A:A,Raw_Data!A16,Raw_Data!D:D)/COUNTIFS(Raw_Data!A:A,Raw_Data!A16,Raw_Data!H:H,"Present")</f>
        <v>6</v>
      </c>
      <c r="S16" s="35">
        <f>Table2[[#This Row],[Total_Earnings]]/COUNTIFS(Raw_Data!A:A,Raw_Data!A16,Raw_Data!H:H,"Present")</f>
        <v>570.20000000000005</v>
      </c>
      <c r="T16" s="2">
        <f>_xlfn.MAXIFS(Raw_Data!D:D,Raw_Data!A:A,A16)</f>
        <v>10</v>
      </c>
      <c r="U16" s="36">
        <f>COUNTIFS(Raw_Data!A:A,A16,Raw_Data!F:F,"Y")
/
COUNTIF(Raw_Data!A:A,A16)</f>
        <v>0.5</v>
      </c>
      <c r="V16" s="2" t="str">
        <f>_xlfn.XLOOKUP(A16,Raw_Data!A:A,Raw_Data!I:I)</f>
        <v>Janakpuri</v>
      </c>
    </row>
    <row r="17" spans="1:22" x14ac:dyDescent="0.4">
      <c r="A17" s="19" t="s">
        <v>26</v>
      </c>
      <c r="B17" s="19" t="s">
        <v>27</v>
      </c>
      <c r="C17" s="20">
        <v>46163</v>
      </c>
      <c r="D17" s="19">
        <v>7</v>
      </c>
      <c r="E17" s="19">
        <v>97</v>
      </c>
      <c r="F17" s="21" t="s">
        <v>11</v>
      </c>
      <c r="G17" s="19">
        <v>111.75</v>
      </c>
      <c r="H17" s="19" t="s">
        <v>12</v>
      </c>
      <c r="I17" s="19" t="s">
        <v>38</v>
      </c>
      <c r="J17" s="22" t="str">
        <f>VLOOKUP(Raw_Data!A17,Raw_Data!A17:I76,1)</f>
        <v>RID006</v>
      </c>
      <c r="K17" s="23" t="str">
        <f>_xlfn.XLOOKUP(A17, Raw_Data!A:A, Raw_Data!B:B)</f>
        <v>Ankit Verma</v>
      </c>
      <c r="L17" s="22">
        <f>SUMIF(Raw_Data!A:A,Raw_Data!A17,Raw_Data!D:D)</f>
        <v>50</v>
      </c>
      <c r="M17" s="22" cm="1">
        <f t="array" ref="M17">SUMPRODUCT((Raw_Data!A$2:A$61=A17)*(Raw_Data!D$2:D$61)*(Raw_Data!E$2:E$61))</f>
        <v>5237</v>
      </c>
      <c r="N17" s="22">
        <f>COUNTIFS(Raw_Data!A:A, A17, Raw_Data!F:F, "Y")</f>
        <v>4</v>
      </c>
      <c r="O17" s="4">
        <f>COUNTIFS(Raw_Data!A:A,A17,Raw_Data!H:H,"Present")/COUNTIF(Raw_Data!A:A,A17)</f>
        <v>1</v>
      </c>
      <c r="P17" s="22">
        <f>SUMIF(Raw_Data!A:A, A17, Raw_Data!G:G)</f>
        <v>422.47</v>
      </c>
      <c r="Q17" s="22">
        <f t="shared" si="0"/>
        <v>4814.53</v>
      </c>
      <c r="R17" s="34">
        <f>SUMIF(Raw_Data!A:A,Raw_Data!A17,Raw_Data!D:D)/COUNTIFS(Raw_Data!A:A,Raw_Data!A17,Raw_Data!H:H,"Present")</f>
        <v>8.3333333333333339</v>
      </c>
      <c r="S17" s="35">
        <f>Table2[[#This Row],[Total_Earnings]]/COUNTIFS(Raw_Data!A:A,Raw_Data!A17,Raw_Data!H:H,"Present")</f>
        <v>872.83333333333337</v>
      </c>
      <c r="T17" s="2">
        <f>_xlfn.MAXIFS(Raw_Data!D:D,Raw_Data!A:A,A17)</f>
        <v>12</v>
      </c>
      <c r="U17" s="36">
        <f>COUNTIFS(Raw_Data!A:A,A17,Raw_Data!F:F,"Y")
/
COUNTIF(Raw_Data!A:A,A17)</f>
        <v>0.66666666666666663</v>
      </c>
      <c r="V17" s="2" t="str">
        <f>_xlfn.XLOOKUP(A17,Raw_Data!A:A,Raw_Data!I:I)</f>
        <v>Rohini</v>
      </c>
    </row>
    <row r="18" spans="1:22" x14ac:dyDescent="0.4">
      <c r="A18" s="14" t="s">
        <v>28</v>
      </c>
      <c r="B18" s="14" t="s">
        <v>29</v>
      </c>
      <c r="C18" s="15">
        <v>46151</v>
      </c>
      <c r="D18" s="14">
        <v>9</v>
      </c>
      <c r="E18" s="14">
        <v>131</v>
      </c>
      <c r="F18" s="16" t="s">
        <v>16</v>
      </c>
      <c r="G18" s="14">
        <v>32.9</v>
      </c>
      <c r="H18" s="14" t="s">
        <v>12</v>
      </c>
      <c r="I18" s="14" t="s">
        <v>22</v>
      </c>
      <c r="J18" s="24" t="str">
        <f>VLOOKUP(Raw_Data!A18,Raw_Data!A18:I77,1)</f>
        <v>RID007</v>
      </c>
      <c r="K18" s="25" t="str">
        <f>_xlfn.XLOOKUP(A18, Raw_Data!A:A, Raw_Data!B:B)</f>
        <v>Mohit Kumar</v>
      </c>
      <c r="L18" s="24">
        <f>SUMIF(Raw_Data!A:A,Raw_Data!A18,Raw_Data!D:D)</f>
        <v>37</v>
      </c>
      <c r="M18" s="24" cm="1">
        <f t="array" ref="M18">SUMPRODUCT((Raw_Data!A$2:A$61=A18)*(Raw_Data!D$2:D$61)*(Raw_Data!E$2:E$61))</f>
        <v>4881</v>
      </c>
      <c r="N18" s="24">
        <f>COUNTIFS(Raw_Data!A:A, A18, Raw_Data!F:F, "Y")</f>
        <v>3</v>
      </c>
      <c r="O18" s="5">
        <f>COUNTIFS(Raw_Data!A:A,A18,Raw_Data!H:H,"Present")/COUNTIF(Raw_Data!A:A,A18)</f>
        <v>1</v>
      </c>
      <c r="P18" s="24">
        <f>SUMIF(Raw_Data!A:A, A18, Raw_Data!G:G)</f>
        <v>469.15</v>
      </c>
      <c r="Q18" s="24">
        <f t="shared" si="0"/>
        <v>4411.8500000000004</v>
      </c>
      <c r="R18" s="34">
        <f>SUMIF(Raw_Data!A:A,Raw_Data!A18,Raw_Data!D:D)/COUNTIFS(Raw_Data!A:A,Raw_Data!A18,Raw_Data!H:H,"Present")</f>
        <v>6.166666666666667</v>
      </c>
      <c r="S18" s="35">
        <f>Table2[[#This Row],[Total_Earnings]]/COUNTIFS(Raw_Data!A:A,Raw_Data!A18,Raw_Data!H:H,"Present")</f>
        <v>813.5</v>
      </c>
      <c r="T18" s="2">
        <f>_xlfn.MAXIFS(Raw_Data!D:D,Raw_Data!A:A,A18)</f>
        <v>9</v>
      </c>
      <c r="U18" s="36">
        <f>COUNTIFS(Raw_Data!A:A,A18,Raw_Data!F:F,"Y")
/
COUNTIF(Raw_Data!A:A,A18)</f>
        <v>0.5</v>
      </c>
      <c r="V18" s="2" t="str">
        <f>_xlfn.XLOOKUP(A18,Raw_Data!A:A,Raw_Data!I:I)</f>
        <v>Punjabi Bagh</v>
      </c>
    </row>
    <row r="19" spans="1:22" x14ac:dyDescent="0.4">
      <c r="A19" s="19" t="s">
        <v>30</v>
      </c>
      <c r="B19" s="19" t="s">
        <v>31</v>
      </c>
      <c r="C19" s="20">
        <v>46159</v>
      </c>
      <c r="D19" s="19">
        <v>3</v>
      </c>
      <c r="E19" s="19">
        <v>94</v>
      </c>
      <c r="F19" s="21" t="s">
        <v>11</v>
      </c>
      <c r="G19" s="19">
        <v>94.12</v>
      </c>
      <c r="H19" s="19" t="s">
        <v>12</v>
      </c>
      <c r="I19" s="19" t="s">
        <v>19</v>
      </c>
      <c r="J19" s="22" t="str">
        <f>VLOOKUP(Raw_Data!A19,Raw_Data!A19:I78,1)</f>
        <v>RID008</v>
      </c>
      <c r="K19" s="23" t="str">
        <f>_xlfn.XLOOKUP(A19, Raw_Data!A:A, Raw_Data!B:B)</f>
        <v>Rahul Jain</v>
      </c>
      <c r="L19" s="22">
        <f>SUMIF(Raw_Data!A:A,Raw_Data!A19,Raw_Data!D:D)</f>
        <v>42</v>
      </c>
      <c r="M19" s="22" cm="1">
        <f t="array" ref="M19">SUMPRODUCT((Raw_Data!A$2:A$61=A19)*(Raw_Data!D$2:D$61)*(Raw_Data!E$2:E$61))</f>
        <v>4641</v>
      </c>
      <c r="N19" s="22">
        <f>COUNTIFS(Raw_Data!A:A, A19, Raw_Data!F:F, "Y")</f>
        <v>6</v>
      </c>
      <c r="O19" s="4">
        <f>COUNTIFS(Raw_Data!A:A,A19,Raw_Data!H:H,"Present")/COUNTIF(Raw_Data!A:A,A19)</f>
        <v>1</v>
      </c>
      <c r="P19" s="22">
        <f>SUMIF(Raw_Data!A:A, A19, Raw_Data!G:G)</f>
        <v>484.25000000000006</v>
      </c>
      <c r="Q19" s="22">
        <f t="shared" si="0"/>
        <v>4156.75</v>
      </c>
      <c r="R19" s="34">
        <f>SUMIF(Raw_Data!A:A,Raw_Data!A19,Raw_Data!D:D)/COUNTIFS(Raw_Data!A:A,Raw_Data!A19,Raw_Data!H:H,"Present")</f>
        <v>7</v>
      </c>
      <c r="S19" s="35">
        <f>Table2[[#This Row],[Total_Earnings]]/COUNTIFS(Raw_Data!A:A,Raw_Data!A19,Raw_Data!H:H,"Present")</f>
        <v>773.5</v>
      </c>
      <c r="T19" s="2">
        <f>_xlfn.MAXIFS(Raw_Data!D:D,Raw_Data!A:A,A19)</f>
        <v>12</v>
      </c>
      <c r="U19" s="36">
        <f>COUNTIFS(Raw_Data!A:A,A19,Raw_Data!F:F,"Y")
/
COUNTIF(Raw_Data!A:A,A19)</f>
        <v>1</v>
      </c>
      <c r="V19" s="2" t="str">
        <f>_xlfn.XLOOKUP(A19,Raw_Data!A:A,Raw_Data!I:I)</f>
        <v>Dwarka</v>
      </c>
    </row>
    <row r="20" spans="1:22" x14ac:dyDescent="0.4">
      <c r="A20" s="14" t="s">
        <v>32</v>
      </c>
      <c r="B20" s="14" t="s">
        <v>33</v>
      </c>
      <c r="C20" s="15">
        <v>46156</v>
      </c>
      <c r="D20" s="14">
        <v>9</v>
      </c>
      <c r="E20" s="14">
        <v>128</v>
      </c>
      <c r="F20" s="16" t="s">
        <v>16</v>
      </c>
      <c r="G20" s="14">
        <v>79.37</v>
      </c>
      <c r="H20" s="14" t="s">
        <v>12</v>
      </c>
      <c r="I20" s="14" t="s">
        <v>38</v>
      </c>
      <c r="J20" s="24" t="str">
        <f>VLOOKUP(Raw_Data!A20,Raw_Data!A20:I79,1)</f>
        <v>RID009</v>
      </c>
      <c r="K20" s="25" t="str">
        <f>_xlfn.XLOOKUP(A20, Raw_Data!A:A, Raw_Data!B:B)</f>
        <v>Nitin Chaudhary</v>
      </c>
      <c r="L20" s="24">
        <f>SUMIF(Raw_Data!A:A,Raw_Data!A20,Raw_Data!D:D)</f>
        <v>42</v>
      </c>
      <c r="M20" s="24" cm="1">
        <f t="array" ref="M20">SUMPRODUCT((Raw_Data!A$2:A$61=A20)*(Raw_Data!D$2:D$61)*(Raw_Data!E$2:E$61))</f>
        <v>4964</v>
      </c>
      <c r="N20" s="24">
        <f>COUNTIFS(Raw_Data!A:A, A20, Raw_Data!F:F, "Y")</f>
        <v>3</v>
      </c>
      <c r="O20" s="5">
        <f>COUNTIFS(Raw_Data!A:A,A20,Raw_Data!H:H,"Present")/COUNTIF(Raw_Data!A:A,A20)</f>
        <v>1</v>
      </c>
      <c r="P20" s="24">
        <f>SUMIF(Raw_Data!A:A, A20, Raw_Data!G:G)</f>
        <v>396.72</v>
      </c>
      <c r="Q20" s="24">
        <f t="shared" si="0"/>
        <v>4567.28</v>
      </c>
      <c r="R20" s="34">
        <f>SUMIF(Raw_Data!A:A,Raw_Data!A20,Raw_Data!D:D)/COUNTIFS(Raw_Data!A:A,Raw_Data!A20,Raw_Data!H:H,"Present")</f>
        <v>7</v>
      </c>
      <c r="S20" s="35">
        <f>Table2[[#This Row],[Total_Earnings]]/COUNTIFS(Raw_Data!A:A,Raw_Data!A20,Raw_Data!H:H,"Present")</f>
        <v>827.33333333333337</v>
      </c>
      <c r="T20" s="2">
        <f>_xlfn.MAXIFS(Raw_Data!D:D,Raw_Data!A:A,A20)</f>
        <v>11</v>
      </c>
      <c r="U20" s="36">
        <f>COUNTIFS(Raw_Data!A:A,A20,Raw_Data!F:F,"Y")
/
COUNTIF(Raw_Data!A:A,A20)</f>
        <v>0.5</v>
      </c>
      <c r="V20" s="2" t="str">
        <f>_xlfn.XLOOKUP(A20,Raw_Data!A:A,Raw_Data!I:I)</f>
        <v>Pitampura</v>
      </c>
    </row>
    <row r="21" spans="1:22" x14ac:dyDescent="0.4">
      <c r="A21" s="19" t="s">
        <v>35</v>
      </c>
      <c r="B21" s="19" t="s">
        <v>36</v>
      </c>
      <c r="C21" s="20">
        <v>46170</v>
      </c>
      <c r="D21" s="19">
        <v>0</v>
      </c>
      <c r="E21" s="19">
        <v>0</v>
      </c>
      <c r="F21" s="21" t="s">
        <v>16</v>
      </c>
      <c r="G21" s="19">
        <v>0</v>
      </c>
      <c r="H21" s="19" t="s">
        <v>37</v>
      </c>
      <c r="I21" s="19" t="s">
        <v>19</v>
      </c>
      <c r="J21" s="22" t="str">
        <f>VLOOKUP(Raw_Data!A21,Raw_Data!A21:I80,1)</f>
        <v>RID010</v>
      </c>
      <c r="K21" s="23" t="str">
        <f>_xlfn.XLOOKUP(A21, Raw_Data!A:A, Raw_Data!B:B)</f>
        <v>Pankaj Malik</v>
      </c>
      <c r="L21" s="22">
        <f>SUMIF(Raw_Data!A:A,Raw_Data!A21,Raw_Data!D:D)</f>
        <v>23</v>
      </c>
      <c r="M21" s="22" cm="1">
        <f t="array" ref="M21">SUMPRODUCT((Raw_Data!A$2:A$61=A21)*(Raw_Data!D$2:D$61)*(Raw_Data!E$2:E$61))</f>
        <v>2852</v>
      </c>
      <c r="N21" s="22">
        <f>COUNTIFS(Raw_Data!A:A, A21, Raw_Data!F:F, "Y")</f>
        <v>2</v>
      </c>
      <c r="O21" s="4">
        <f>COUNTIFS(Raw_Data!A:A,A21,Raw_Data!H:H,"Present")/COUNTIF(Raw_Data!A:A,A21)</f>
        <v>0.66666666666666663</v>
      </c>
      <c r="P21" s="22">
        <f>SUMIF(Raw_Data!A:A, A21, Raw_Data!G:G)</f>
        <v>161.67000000000002</v>
      </c>
      <c r="Q21" s="22">
        <f t="shared" si="0"/>
        <v>2690.33</v>
      </c>
      <c r="R21" s="34">
        <f>SUMIF(Raw_Data!A:A,Raw_Data!A21,Raw_Data!D:D)/COUNTIFS(Raw_Data!A:A,Raw_Data!A21,Raw_Data!H:H,"Present")</f>
        <v>5.75</v>
      </c>
      <c r="S21" s="35">
        <f>Table2[[#This Row],[Total_Earnings]]/COUNTIFS(Raw_Data!A:A,Raw_Data!A21,Raw_Data!H:H,"Present")</f>
        <v>713</v>
      </c>
      <c r="T21" s="2">
        <f>_xlfn.MAXIFS(Raw_Data!D:D,Raw_Data!A:A,A21)</f>
        <v>7</v>
      </c>
      <c r="U21" s="36">
        <f>COUNTIFS(Raw_Data!A:A,A21,Raw_Data!F:F,"Y")
/
COUNTIF(Raw_Data!A:A,A21)</f>
        <v>0.33333333333333331</v>
      </c>
      <c r="V21" s="2" t="str">
        <f>_xlfn.XLOOKUP(A21,Raw_Data!A:A,Raw_Data!I:I)</f>
        <v>Janakpuri</v>
      </c>
    </row>
    <row r="22" spans="1:22" x14ac:dyDescent="0.4">
      <c r="A22" s="14" t="s">
        <v>9</v>
      </c>
      <c r="B22" s="14" t="s">
        <v>10</v>
      </c>
      <c r="C22" s="15">
        <v>46166</v>
      </c>
      <c r="D22" s="14">
        <v>11</v>
      </c>
      <c r="E22" s="14">
        <v>114</v>
      </c>
      <c r="F22" s="16" t="s">
        <v>16</v>
      </c>
      <c r="G22" s="14">
        <v>16.73</v>
      </c>
      <c r="H22" s="14" t="s">
        <v>12</v>
      </c>
      <c r="I22" s="14" t="s">
        <v>34</v>
      </c>
      <c r="J22" s="24" t="str">
        <f>VLOOKUP(Raw_Data!A22,Raw_Data!A22:I81,1)</f>
        <v>RID001</v>
      </c>
      <c r="K22" s="25" t="str">
        <f>_xlfn.XLOOKUP(A22, Raw_Data!A:A, Raw_Data!B:B)</f>
        <v>Aman Kumar</v>
      </c>
      <c r="L22" s="24">
        <f>SUMIF(Raw_Data!A:A,Raw_Data!A22,Raw_Data!D:D)</f>
        <v>32</v>
      </c>
      <c r="M22" s="24" cm="1">
        <f t="array" ref="M22">SUMPRODUCT((Raw_Data!A$2:A$61=A22)*(Raw_Data!D$2:D$61)*(Raw_Data!E$2:E$61))</f>
        <v>3860</v>
      </c>
      <c r="N22" s="24">
        <f>COUNTIFS(Raw_Data!A:A, A22, Raw_Data!F:F, "Y")</f>
        <v>3</v>
      </c>
      <c r="O22" s="5">
        <f>COUNTIFS(Raw_Data!A:A,A22,Raw_Data!H:H,"Present")/COUNTIF(Raw_Data!A:A,A22)</f>
        <v>0.66666666666666663</v>
      </c>
      <c r="P22" s="24">
        <f>SUMIF(Raw_Data!A:A, A22, Raw_Data!G:G)</f>
        <v>100.48</v>
      </c>
      <c r="Q22" s="24">
        <f t="shared" si="0"/>
        <v>3759.52</v>
      </c>
      <c r="R22" s="34">
        <f>SUMIF(Raw_Data!A:A,Raw_Data!A22,Raw_Data!D:D)/COUNTIFS(Raw_Data!A:A,Raw_Data!A22,Raw_Data!H:H,"Present")</f>
        <v>8</v>
      </c>
      <c r="S22" s="35">
        <f>Table2[[#This Row],[Total_Earnings]]/COUNTIFS(Raw_Data!A:A,Raw_Data!A22,Raw_Data!H:H,"Present")</f>
        <v>965</v>
      </c>
      <c r="T22" s="2">
        <f>_xlfn.MAXIFS(Raw_Data!D:D,Raw_Data!A:A,A22)</f>
        <v>11</v>
      </c>
      <c r="U22" s="36">
        <f>COUNTIFS(Raw_Data!A:A,A22,Raw_Data!F:F,"Y")
/
COUNTIF(Raw_Data!A:A,A22)</f>
        <v>0.5</v>
      </c>
      <c r="V22" s="2" t="str">
        <f>_xlfn.XLOOKUP(A22,Raw_Data!A:A,Raw_Data!I:I)</f>
        <v>Rohini</v>
      </c>
    </row>
    <row r="23" spans="1:22" x14ac:dyDescent="0.4">
      <c r="A23" s="19" t="s">
        <v>14</v>
      </c>
      <c r="B23" s="19" t="s">
        <v>15</v>
      </c>
      <c r="C23" s="20">
        <v>46148</v>
      </c>
      <c r="D23" s="19">
        <v>7</v>
      </c>
      <c r="E23" s="19">
        <v>144</v>
      </c>
      <c r="F23" s="21" t="s">
        <v>11</v>
      </c>
      <c r="G23" s="19">
        <v>76.150000000000006</v>
      </c>
      <c r="H23" s="19" t="s">
        <v>12</v>
      </c>
      <c r="I23" s="19" t="s">
        <v>13</v>
      </c>
      <c r="J23" s="22" t="str">
        <f>VLOOKUP(Raw_Data!A23,Raw_Data!A23:I82,1)</f>
        <v>RID002</v>
      </c>
      <c r="K23" s="23" t="str">
        <f>_xlfn.XLOOKUP(A23, Raw_Data!A:A, Raw_Data!B:B)</f>
        <v>Rohit Sharma</v>
      </c>
      <c r="L23" s="22">
        <f>SUMIF(Raw_Data!A:A,Raw_Data!A23,Raw_Data!D:D)</f>
        <v>49</v>
      </c>
      <c r="M23" s="22" cm="1">
        <f t="array" ref="M23">SUMPRODUCT((Raw_Data!A$2:A$61=A23)*(Raw_Data!D$2:D$61)*(Raw_Data!E$2:E$61))</f>
        <v>5516</v>
      </c>
      <c r="N23" s="22">
        <f>COUNTIFS(Raw_Data!A:A, A23, Raw_Data!F:F, "Y")</f>
        <v>3</v>
      </c>
      <c r="O23" s="4">
        <f>COUNTIFS(Raw_Data!A:A,A23,Raw_Data!H:H,"Present")/COUNTIF(Raw_Data!A:A,A23)</f>
        <v>1</v>
      </c>
      <c r="P23" s="22">
        <f>SUMIF(Raw_Data!A:A, A23, Raw_Data!G:G)</f>
        <v>255.2</v>
      </c>
      <c r="Q23" s="22">
        <f t="shared" si="0"/>
        <v>5260.8</v>
      </c>
      <c r="R23" s="34">
        <f>SUMIF(Raw_Data!A:A,Raw_Data!A23,Raw_Data!D:D)/COUNTIFS(Raw_Data!A:A,Raw_Data!A23,Raw_Data!H:H,"Present")</f>
        <v>8.1666666666666661</v>
      </c>
      <c r="S23" s="35">
        <f>Table2[[#This Row],[Total_Earnings]]/COUNTIFS(Raw_Data!A:A,Raw_Data!A23,Raw_Data!H:H,"Present")</f>
        <v>919.33333333333337</v>
      </c>
      <c r="T23" s="2">
        <f>_xlfn.MAXIFS(Raw_Data!D:D,Raw_Data!A:A,A23)</f>
        <v>11</v>
      </c>
      <c r="U23" s="36">
        <f>COUNTIFS(Raw_Data!A:A,A23,Raw_Data!F:F,"Y")
/
COUNTIF(Raw_Data!A:A,A23)</f>
        <v>0.5</v>
      </c>
      <c r="V23" s="2" t="str">
        <f>_xlfn.XLOOKUP(A23,Raw_Data!A:A,Raw_Data!I:I)</f>
        <v>Rohini</v>
      </c>
    </row>
    <row r="24" spans="1:22" x14ac:dyDescent="0.4">
      <c r="A24" s="14" t="s">
        <v>17</v>
      </c>
      <c r="B24" s="14" t="s">
        <v>18</v>
      </c>
      <c r="C24" s="15">
        <v>46170</v>
      </c>
      <c r="D24" s="14">
        <v>11</v>
      </c>
      <c r="E24" s="14">
        <v>105</v>
      </c>
      <c r="F24" s="16" t="s">
        <v>11</v>
      </c>
      <c r="G24" s="14">
        <v>56.09</v>
      </c>
      <c r="H24" s="14" t="s">
        <v>12</v>
      </c>
      <c r="I24" s="14" t="s">
        <v>22</v>
      </c>
      <c r="J24" s="24" t="str">
        <f>VLOOKUP(Raw_Data!A24,Raw_Data!A24:I83,1)</f>
        <v>RID003</v>
      </c>
      <c r="K24" s="25" t="str">
        <f>_xlfn.XLOOKUP(A24, Raw_Data!A:A, Raw_Data!B:B)</f>
        <v>Vikas Yadav</v>
      </c>
      <c r="L24" s="24">
        <f>SUMIF(Raw_Data!A:A,Raw_Data!A24,Raw_Data!D:D)</f>
        <v>52</v>
      </c>
      <c r="M24" s="24" cm="1">
        <f t="array" ref="M24">SUMPRODUCT((Raw_Data!A$2:A$61=A24)*(Raw_Data!D$2:D$61)*(Raw_Data!E$2:E$61))</f>
        <v>5609</v>
      </c>
      <c r="N24" s="24">
        <f>COUNTIFS(Raw_Data!A:A, A24, Raw_Data!F:F, "Y")</f>
        <v>4</v>
      </c>
      <c r="O24" s="5">
        <f>COUNTIFS(Raw_Data!A:A,A24,Raw_Data!H:H,"Present")/COUNTIF(Raw_Data!A:A,A24)</f>
        <v>0.83333333333333337</v>
      </c>
      <c r="P24" s="24">
        <f>SUMIF(Raw_Data!A:A, A24, Raw_Data!G:G)</f>
        <v>462.97</v>
      </c>
      <c r="Q24" s="24">
        <f t="shared" si="0"/>
        <v>5146.03</v>
      </c>
      <c r="R24" s="34">
        <f>SUMIF(Raw_Data!A:A,Raw_Data!A24,Raw_Data!D:D)/COUNTIFS(Raw_Data!A:A,Raw_Data!A24,Raw_Data!H:H,"Present")</f>
        <v>10.4</v>
      </c>
      <c r="S24" s="35">
        <f>Table2[[#This Row],[Total_Earnings]]/COUNTIFS(Raw_Data!A:A,Raw_Data!A24,Raw_Data!H:H,"Present")</f>
        <v>1121.8</v>
      </c>
      <c r="T24" s="2">
        <f>_xlfn.MAXIFS(Raw_Data!D:D,Raw_Data!A:A,A24)</f>
        <v>12</v>
      </c>
      <c r="U24" s="36">
        <f>COUNTIFS(Raw_Data!A:A,A24,Raw_Data!F:F,"Y")
/
COUNTIF(Raw_Data!A:A,A24)</f>
        <v>0.66666666666666663</v>
      </c>
      <c r="V24" s="2" t="str">
        <f>_xlfn.XLOOKUP(A24,Raw_Data!A:A,Raw_Data!I:I)</f>
        <v>Punjabi Bagh</v>
      </c>
    </row>
    <row r="25" spans="1:22" x14ac:dyDescent="0.4">
      <c r="A25" s="19" t="s">
        <v>20</v>
      </c>
      <c r="B25" s="19" t="s">
        <v>21</v>
      </c>
      <c r="C25" s="20">
        <v>46160</v>
      </c>
      <c r="D25" s="19">
        <v>0</v>
      </c>
      <c r="E25" s="19">
        <v>0</v>
      </c>
      <c r="F25" s="21" t="s">
        <v>16</v>
      </c>
      <c r="G25" s="19">
        <v>0</v>
      </c>
      <c r="H25" s="19" t="s">
        <v>37</v>
      </c>
      <c r="I25" s="19" t="s">
        <v>38</v>
      </c>
      <c r="J25" s="22" t="str">
        <f>VLOOKUP(Raw_Data!A25,Raw_Data!A25:I84,1)</f>
        <v>RID004</v>
      </c>
      <c r="K25" s="23" t="str">
        <f>_xlfn.XLOOKUP(A25, Raw_Data!A:A, Raw_Data!B:B)</f>
        <v>Deepak Singh</v>
      </c>
      <c r="L25" s="22">
        <f>SUMIF(Raw_Data!A:A,Raw_Data!A25,Raw_Data!D:D)</f>
        <v>46</v>
      </c>
      <c r="M25" s="22" cm="1">
        <f t="array" ref="M25">SUMPRODUCT((Raw_Data!A$2:A$61=A25)*(Raw_Data!D$2:D$61)*(Raw_Data!E$2:E$61))</f>
        <v>4622</v>
      </c>
      <c r="N25" s="22">
        <f>COUNTIFS(Raw_Data!A:A, A25, Raw_Data!F:F, "Y")</f>
        <v>4</v>
      </c>
      <c r="O25" s="4">
        <f>COUNTIFS(Raw_Data!A:A,A25,Raw_Data!H:H,"Present")/COUNTIF(Raw_Data!A:A,A25)</f>
        <v>0.83333333333333337</v>
      </c>
      <c r="P25" s="22">
        <f>SUMIF(Raw_Data!A:A, A25, Raw_Data!G:G)</f>
        <v>409.36</v>
      </c>
      <c r="Q25" s="22">
        <f t="shared" si="0"/>
        <v>4212.6400000000003</v>
      </c>
      <c r="R25" s="34">
        <f>SUMIF(Raw_Data!A:A,Raw_Data!A25,Raw_Data!D:D)/COUNTIFS(Raw_Data!A:A,Raw_Data!A25,Raw_Data!H:H,"Present")</f>
        <v>9.1999999999999993</v>
      </c>
      <c r="S25" s="35">
        <f>Table2[[#This Row],[Total_Earnings]]/COUNTIFS(Raw_Data!A:A,Raw_Data!A25,Raw_Data!H:H,"Present")</f>
        <v>924.4</v>
      </c>
      <c r="T25" s="2">
        <f>_xlfn.MAXIFS(Raw_Data!D:D,Raw_Data!A:A,A25)</f>
        <v>12</v>
      </c>
      <c r="U25" s="36">
        <f>COUNTIFS(Raw_Data!A:A,A25,Raw_Data!F:F,"Y")
/
COUNTIF(Raw_Data!A:A,A25)</f>
        <v>0.66666666666666663</v>
      </c>
      <c r="V25" s="2" t="str">
        <f>_xlfn.XLOOKUP(A25,Raw_Data!A:A,Raw_Data!I:I)</f>
        <v>Dwarka</v>
      </c>
    </row>
    <row r="26" spans="1:22" x14ac:dyDescent="0.4">
      <c r="A26" s="14" t="s">
        <v>23</v>
      </c>
      <c r="B26" s="14" t="s">
        <v>24</v>
      </c>
      <c r="C26" s="15">
        <v>46143</v>
      </c>
      <c r="D26" s="14">
        <v>10</v>
      </c>
      <c r="E26" s="14">
        <v>82</v>
      </c>
      <c r="F26" s="16" t="s">
        <v>11</v>
      </c>
      <c r="G26" s="14">
        <v>139.36000000000001</v>
      </c>
      <c r="H26" s="14" t="s">
        <v>12</v>
      </c>
      <c r="I26" s="14" t="s">
        <v>25</v>
      </c>
      <c r="J26" s="24" t="str">
        <f>VLOOKUP(Raw_Data!A26,Raw_Data!A26:I85,1)</f>
        <v>RID005</v>
      </c>
      <c r="K26" s="25" t="str">
        <f>_xlfn.XLOOKUP(A26, Raw_Data!A:A, Raw_Data!B:B)</f>
        <v>Saurabh Gupta</v>
      </c>
      <c r="L26" s="24">
        <f>SUMIF(Raw_Data!A:A,Raw_Data!A26,Raw_Data!D:D)</f>
        <v>30</v>
      </c>
      <c r="M26" s="24" cm="1">
        <f t="array" ref="M26">SUMPRODUCT((Raw_Data!A$2:A$61=A26)*(Raw_Data!D$2:D$61)*(Raw_Data!E$2:E$61))</f>
        <v>2851</v>
      </c>
      <c r="N26" s="24">
        <f>COUNTIFS(Raw_Data!A:A, A26, Raw_Data!F:F, "Y")</f>
        <v>3</v>
      </c>
      <c r="O26" s="5">
        <f>COUNTIFS(Raw_Data!A:A,A26,Raw_Data!H:H,"Present")/COUNTIF(Raw_Data!A:A,A26)</f>
        <v>0.83333333333333337</v>
      </c>
      <c r="P26" s="24">
        <f>SUMIF(Raw_Data!A:A, A26, Raw_Data!G:G)</f>
        <v>589.1</v>
      </c>
      <c r="Q26" s="24">
        <f t="shared" si="0"/>
        <v>2261.9</v>
      </c>
      <c r="R26" s="34">
        <f>SUMIF(Raw_Data!A:A,Raw_Data!A26,Raw_Data!D:D)/COUNTIFS(Raw_Data!A:A,Raw_Data!A26,Raw_Data!H:H,"Present")</f>
        <v>6</v>
      </c>
      <c r="S26" s="35">
        <f>Table2[[#This Row],[Total_Earnings]]/COUNTIFS(Raw_Data!A:A,Raw_Data!A26,Raw_Data!H:H,"Present")</f>
        <v>570.20000000000005</v>
      </c>
      <c r="T26" s="2">
        <f>_xlfn.MAXIFS(Raw_Data!D:D,Raw_Data!A:A,A26)</f>
        <v>10</v>
      </c>
      <c r="U26" s="36">
        <f>COUNTIFS(Raw_Data!A:A,A26,Raw_Data!F:F,"Y")
/
COUNTIF(Raw_Data!A:A,A26)</f>
        <v>0.5</v>
      </c>
      <c r="V26" s="2" t="str">
        <f>_xlfn.XLOOKUP(A26,Raw_Data!A:A,Raw_Data!I:I)</f>
        <v>Janakpuri</v>
      </c>
    </row>
    <row r="27" spans="1:22" x14ac:dyDescent="0.4">
      <c r="A27" s="19" t="s">
        <v>26</v>
      </c>
      <c r="B27" s="19" t="s">
        <v>27</v>
      </c>
      <c r="C27" s="20">
        <v>46150</v>
      </c>
      <c r="D27" s="19">
        <v>12</v>
      </c>
      <c r="E27" s="19">
        <v>90</v>
      </c>
      <c r="F27" s="21" t="s">
        <v>11</v>
      </c>
      <c r="G27" s="19">
        <v>109.79</v>
      </c>
      <c r="H27" s="19" t="s">
        <v>12</v>
      </c>
      <c r="I27" s="19" t="s">
        <v>13</v>
      </c>
      <c r="J27" s="22" t="str">
        <f>VLOOKUP(Raw_Data!A27,Raw_Data!A27:I86,1)</f>
        <v>RID006</v>
      </c>
      <c r="K27" s="23" t="str">
        <f>_xlfn.XLOOKUP(A27, Raw_Data!A:A, Raw_Data!B:B)</f>
        <v>Ankit Verma</v>
      </c>
      <c r="L27" s="22">
        <f>SUMIF(Raw_Data!A:A,Raw_Data!A27,Raw_Data!D:D)</f>
        <v>50</v>
      </c>
      <c r="M27" s="22" cm="1">
        <f t="array" ref="M27">SUMPRODUCT((Raw_Data!A$2:A$61=A27)*(Raw_Data!D$2:D$61)*(Raw_Data!E$2:E$61))</f>
        <v>5237</v>
      </c>
      <c r="N27" s="22">
        <f>COUNTIFS(Raw_Data!A:A, A27, Raw_Data!F:F, "Y")</f>
        <v>4</v>
      </c>
      <c r="O27" s="4">
        <f>COUNTIFS(Raw_Data!A:A,A27,Raw_Data!H:H,"Present")/COUNTIF(Raw_Data!A:A,A27)</f>
        <v>1</v>
      </c>
      <c r="P27" s="22">
        <f>SUMIF(Raw_Data!A:A, A27, Raw_Data!G:G)</f>
        <v>422.47</v>
      </c>
      <c r="Q27" s="22">
        <f t="shared" si="0"/>
        <v>4814.53</v>
      </c>
      <c r="R27" s="34">
        <f>SUMIF(Raw_Data!A:A,Raw_Data!A27,Raw_Data!D:D)/COUNTIFS(Raw_Data!A:A,Raw_Data!A27,Raw_Data!H:H,"Present")</f>
        <v>8.3333333333333339</v>
      </c>
      <c r="S27" s="35">
        <f>Table2[[#This Row],[Total_Earnings]]/COUNTIFS(Raw_Data!A:A,Raw_Data!A27,Raw_Data!H:H,"Present")</f>
        <v>872.83333333333337</v>
      </c>
      <c r="T27" s="2">
        <f>_xlfn.MAXIFS(Raw_Data!D:D,Raw_Data!A:A,A27)</f>
        <v>12</v>
      </c>
      <c r="U27" s="36">
        <f>COUNTIFS(Raw_Data!A:A,A27,Raw_Data!F:F,"Y")
/
COUNTIF(Raw_Data!A:A,A27)</f>
        <v>0.66666666666666663</v>
      </c>
      <c r="V27" s="2" t="str">
        <f>_xlfn.XLOOKUP(A27,Raw_Data!A:A,Raw_Data!I:I)</f>
        <v>Rohini</v>
      </c>
    </row>
    <row r="28" spans="1:22" x14ac:dyDescent="0.4">
      <c r="A28" s="14" t="s">
        <v>28</v>
      </c>
      <c r="B28" s="14" t="s">
        <v>29</v>
      </c>
      <c r="C28" s="15">
        <v>46167</v>
      </c>
      <c r="D28" s="14">
        <v>5</v>
      </c>
      <c r="E28" s="14">
        <v>96</v>
      </c>
      <c r="F28" s="16" t="s">
        <v>16</v>
      </c>
      <c r="G28" s="14">
        <v>142.03</v>
      </c>
      <c r="H28" s="14" t="s">
        <v>12</v>
      </c>
      <c r="I28" s="14" t="s">
        <v>22</v>
      </c>
      <c r="J28" s="24" t="str">
        <f>VLOOKUP(Raw_Data!A28,Raw_Data!A28:I87,1)</f>
        <v>RID007</v>
      </c>
      <c r="K28" s="25" t="str">
        <f>_xlfn.XLOOKUP(A28, Raw_Data!A:A, Raw_Data!B:B)</f>
        <v>Mohit Kumar</v>
      </c>
      <c r="L28" s="24">
        <f>SUMIF(Raw_Data!A:A,Raw_Data!A28,Raw_Data!D:D)</f>
        <v>37</v>
      </c>
      <c r="M28" s="24" cm="1">
        <f t="array" ref="M28">SUMPRODUCT((Raw_Data!A$2:A$61=A28)*(Raw_Data!D$2:D$61)*(Raw_Data!E$2:E$61))</f>
        <v>4881</v>
      </c>
      <c r="N28" s="24">
        <f>COUNTIFS(Raw_Data!A:A, A28, Raw_Data!F:F, "Y")</f>
        <v>3</v>
      </c>
      <c r="O28" s="5">
        <f>COUNTIFS(Raw_Data!A:A,A28,Raw_Data!H:H,"Present")/COUNTIF(Raw_Data!A:A,A28)</f>
        <v>1</v>
      </c>
      <c r="P28" s="24">
        <f>SUMIF(Raw_Data!A:A, A28, Raw_Data!G:G)</f>
        <v>469.15</v>
      </c>
      <c r="Q28" s="24">
        <f t="shared" si="0"/>
        <v>4411.8500000000004</v>
      </c>
      <c r="R28" s="34">
        <f>SUMIF(Raw_Data!A:A,Raw_Data!A28,Raw_Data!D:D)/COUNTIFS(Raw_Data!A:A,Raw_Data!A28,Raw_Data!H:H,"Present")</f>
        <v>6.166666666666667</v>
      </c>
      <c r="S28" s="35">
        <f>Table2[[#This Row],[Total_Earnings]]/COUNTIFS(Raw_Data!A:A,Raw_Data!A28,Raw_Data!H:H,"Present")</f>
        <v>813.5</v>
      </c>
      <c r="T28" s="2">
        <f>_xlfn.MAXIFS(Raw_Data!D:D,Raw_Data!A:A,A28)</f>
        <v>9</v>
      </c>
      <c r="U28" s="36">
        <f>COUNTIFS(Raw_Data!A:A,A28,Raw_Data!F:F,"Y")
/
COUNTIF(Raw_Data!A:A,A28)</f>
        <v>0.5</v>
      </c>
      <c r="V28" s="2" t="str">
        <f>_xlfn.XLOOKUP(A28,Raw_Data!A:A,Raw_Data!I:I)</f>
        <v>Punjabi Bagh</v>
      </c>
    </row>
    <row r="29" spans="1:22" x14ac:dyDescent="0.4">
      <c r="A29" s="19" t="s">
        <v>30</v>
      </c>
      <c r="B29" s="19" t="s">
        <v>31</v>
      </c>
      <c r="C29" s="20">
        <v>46151</v>
      </c>
      <c r="D29" s="19">
        <v>12</v>
      </c>
      <c r="E29" s="19">
        <v>134</v>
      </c>
      <c r="F29" s="21" t="s">
        <v>11</v>
      </c>
      <c r="G29" s="19">
        <v>139.34</v>
      </c>
      <c r="H29" s="19" t="s">
        <v>12</v>
      </c>
      <c r="I29" s="19" t="s">
        <v>19</v>
      </c>
      <c r="J29" s="22" t="str">
        <f>VLOOKUP(Raw_Data!A29,Raw_Data!A29:I88,1)</f>
        <v>RID008</v>
      </c>
      <c r="K29" s="23" t="str">
        <f>_xlfn.XLOOKUP(A29, Raw_Data!A:A, Raw_Data!B:B)</f>
        <v>Rahul Jain</v>
      </c>
      <c r="L29" s="22">
        <f>SUMIF(Raw_Data!A:A,Raw_Data!A29,Raw_Data!D:D)</f>
        <v>42</v>
      </c>
      <c r="M29" s="22" cm="1">
        <f t="array" ref="M29">SUMPRODUCT((Raw_Data!A$2:A$61=A29)*(Raw_Data!D$2:D$61)*(Raw_Data!E$2:E$61))</f>
        <v>4641</v>
      </c>
      <c r="N29" s="22">
        <f>COUNTIFS(Raw_Data!A:A, A29, Raw_Data!F:F, "Y")</f>
        <v>6</v>
      </c>
      <c r="O29" s="4">
        <f>COUNTIFS(Raw_Data!A:A,A29,Raw_Data!H:H,"Present")/COUNTIF(Raw_Data!A:A,A29)</f>
        <v>1</v>
      </c>
      <c r="P29" s="22">
        <f>SUMIF(Raw_Data!A:A, A29, Raw_Data!G:G)</f>
        <v>484.25000000000006</v>
      </c>
      <c r="Q29" s="22">
        <f t="shared" si="0"/>
        <v>4156.75</v>
      </c>
      <c r="R29" s="34">
        <f>SUMIF(Raw_Data!A:A,Raw_Data!A29,Raw_Data!D:D)/COUNTIFS(Raw_Data!A:A,Raw_Data!A29,Raw_Data!H:H,"Present")</f>
        <v>7</v>
      </c>
      <c r="S29" s="35">
        <f>Table2[[#This Row],[Total_Earnings]]/COUNTIFS(Raw_Data!A:A,Raw_Data!A29,Raw_Data!H:H,"Present")</f>
        <v>773.5</v>
      </c>
      <c r="T29" s="2">
        <f>_xlfn.MAXIFS(Raw_Data!D:D,Raw_Data!A:A,A29)</f>
        <v>12</v>
      </c>
      <c r="U29" s="36">
        <f>COUNTIFS(Raw_Data!A:A,A29,Raw_Data!F:F,"Y")
/
COUNTIF(Raw_Data!A:A,A29)</f>
        <v>1</v>
      </c>
      <c r="V29" s="2" t="str">
        <f>_xlfn.XLOOKUP(A29,Raw_Data!A:A,Raw_Data!I:I)</f>
        <v>Dwarka</v>
      </c>
    </row>
    <row r="30" spans="1:22" x14ac:dyDescent="0.4">
      <c r="A30" s="14" t="s">
        <v>32</v>
      </c>
      <c r="B30" s="14" t="s">
        <v>33</v>
      </c>
      <c r="C30" s="15">
        <v>46165</v>
      </c>
      <c r="D30" s="14">
        <v>7</v>
      </c>
      <c r="E30" s="14">
        <v>131</v>
      </c>
      <c r="F30" s="16" t="s">
        <v>16</v>
      </c>
      <c r="G30" s="14">
        <v>65.72</v>
      </c>
      <c r="H30" s="14" t="s">
        <v>12</v>
      </c>
      <c r="I30" s="14" t="s">
        <v>38</v>
      </c>
      <c r="J30" s="24" t="str">
        <f>VLOOKUP(Raw_Data!A30,Raw_Data!A30:I89,1)</f>
        <v>RID009</v>
      </c>
      <c r="K30" s="25" t="str">
        <f>_xlfn.XLOOKUP(A30, Raw_Data!A:A, Raw_Data!B:B)</f>
        <v>Nitin Chaudhary</v>
      </c>
      <c r="L30" s="24">
        <f>SUMIF(Raw_Data!A:A,Raw_Data!A30,Raw_Data!D:D)</f>
        <v>42</v>
      </c>
      <c r="M30" s="24" cm="1">
        <f t="array" ref="M30">SUMPRODUCT((Raw_Data!A$2:A$61=A30)*(Raw_Data!D$2:D$61)*(Raw_Data!E$2:E$61))</f>
        <v>4964</v>
      </c>
      <c r="N30" s="24">
        <f>COUNTIFS(Raw_Data!A:A, A30, Raw_Data!F:F, "Y")</f>
        <v>3</v>
      </c>
      <c r="O30" s="5">
        <f>COUNTIFS(Raw_Data!A:A,A30,Raw_Data!H:H,"Present")/COUNTIF(Raw_Data!A:A,A30)</f>
        <v>1</v>
      </c>
      <c r="P30" s="24">
        <f>SUMIF(Raw_Data!A:A, A30, Raw_Data!G:G)</f>
        <v>396.72</v>
      </c>
      <c r="Q30" s="24">
        <f t="shared" si="0"/>
        <v>4567.28</v>
      </c>
      <c r="R30" s="34">
        <f>SUMIF(Raw_Data!A:A,Raw_Data!A30,Raw_Data!D:D)/COUNTIFS(Raw_Data!A:A,Raw_Data!A30,Raw_Data!H:H,"Present")</f>
        <v>7</v>
      </c>
      <c r="S30" s="35">
        <f>Table2[[#This Row],[Total_Earnings]]/COUNTIFS(Raw_Data!A:A,Raw_Data!A30,Raw_Data!H:H,"Present")</f>
        <v>827.33333333333337</v>
      </c>
      <c r="T30" s="2">
        <f>_xlfn.MAXIFS(Raw_Data!D:D,Raw_Data!A:A,A30)</f>
        <v>11</v>
      </c>
      <c r="U30" s="36">
        <f>COUNTIFS(Raw_Data!A:A,A30,Raw_Data!F:F,"Y")
/
COUNTIF(Raw_Data!A:A,A30)</f>
        <v>0.5</v>
      </c>
      <c r="V30" s="2" t="str">
        <f>_xlfn.XLOOKUP(A30,Raw_Data!A:A,Raw_Data!I:I)</f>
        <v>Pitampura</v>
      </c>
    </row>
    <row r="31" spans="1:22" x14ac:dyDescent="0.4">
      <c r="A31" s="19" t="s">
        <v>35</v>
      </c>
      <c r="B31" s="19" t="s">
        <v>36</v>
      </c>
      <c r="C31" s="20">
        <v>46157</v>
      </c>
      <c r="D31" s="19">
        <v>6</v>
      </c>
      <c r="E31" s="19">
        <v>88</v>
      </c>
      <c r="F31" s="21" t="s">
        <v>16</v>
      </c>
      <c r="G31" s="19">
        <v>3.16</v>
      </c>
      <c r="H31" s="19" t="s">
        <v>12</v>
      </c>
      <c r="I31" s="19" t="s">
        <v>38</v>
      </c>
      <c r="J31" s="22" t="str">
        <f>VLOOKUP(Raw_Data!A31,Raw_Data!A31:I90,1)</f>
        <v>RID010</v>
      </c>
      <c r="K31" s="23" t="str">
        <f>_xlfn.XLOOKUP(A31, Raw_Data!A:A, Raw_Data!B:B)</f>
        <v>Pankaj Malik</v>
      </c>
      <c r="L31" s="22">
        <f>SUMIF(Raw_Data!A:A,Raw_Data!A31,Raw_Data!D:D)</f>
        <v>23</v>
      </c>
      <c r="M31" s="22" cm="1">
        <f t="array" ref="M31">SUMPRODUCT((Raw_Data!A$2:A$61=A31)*(Raw_Data!D$2:D$61)*(Raw_Data!E$2:E$61))</f>
        <v>2852</v>
      </c>
      <c r="N31" s="22">
        <f>COUNTIFS(Raw_Data!A:A, A31, Raw_Data!F:F, "Y")</f>
        <v>2</v>
      </c>
      <c r="O31" s="4">
        <f>COUNTIFS(Raw_Data!A:A,A31,Raw_Data!H:H,"Present")/COUNTIF(Raw_Data!A:A,A31)</f>
        <v>0.66666666666666663</v>
      </c>
      <c r="P31" s="22">
        <f>SUMIF(Raw_Data!A:A, A31, Raw_Data!G:G)</f>
        <v>161.67000000000002</v>
      </c>
      <c r="Q31" s="22">
        <f t="shared" si="0"/>
        <v>2690.33</v>
      </c>
      <c r="R31" s="34">
        <f>SUMIF(Raw_Data!A:A,Raw_Data!A31,Raw_Data!D:D)/COUNTIFS(Raw_Data!A:A,Raw_Data!A31,Raw_Data!H:H,"Present")</f>
        <v>5.75</v>
      </c>
      <c r="S31" s="35">
        <f>Table2[[#This Row],[Total_Earnings]]/COUNTIFS(Raw_Data!A:A,Raw_Data!A31,Raw_Data!H:H,"Present")</f>
        <v>713</v>
      </c>
      <c r="T31" s="2">
        <f>_xlfn.MAXIFS(Raw_Data!D:D,Raw_Data!A:A,A31)</f>
        <v>7</v>
      </c>
      <c r="U31" s="36">
        <f>COUNTIFS(Raw_Data!A:A,A31,Raw_Data!F:F,"Y")
/
COUNTIF(Raw_Data!A:A,A31)</f>
        <v>0.33333333333333331</v>
      </c>
      <c r="V31" s="2" t="str">
        <f>_xlfn.XLOOKUP(A31,Raw_Data!A:A,Raw_Data!I:I)</f>
        <v>Janakpuri</v>
      </c>
    </row>
    <row r="32" spans="1:22" x14ac:dyDescent="0.4">
      <c r="A32" s="14" t="s">
        <v>9</v>
      </c>
      <c r="B32" s="14" t="s">
        <v>10</v>
      </c>
      <c r="C32" s="15">
        <v>46150</v>
      </c>
      <c r="D32" s="14">
        <v>3</v>
      </c>
      <c r="E32" s="14">
        <v>89</v>
      </c>
      <c r="F32" s="16" t="s">
        <v>11</v>
      </c>
      <c r="G32" s="14">
        <v>34.340000000000003</v>
      </c>
      <c r="H32" s="14" t="s">
        <v>12</v>
      </c>
      <c r="I32" s="14" t="s">
        <v>13</v>
      </c>
      <c r="J32" s="24" t="str">
        <f>VLOOKUP(Raw_Data!A32,Raw_Data!A32:I91,1)</f>
        <v>RID001</v>
      </c>
      <c r="K32" s="25" t="str">
        <f>_xlfn.XLOOKUP(A32, Raw_Data!A:A, Raw_Data!B:B)</f>
        <v>Aman Kumar</v>
      </c>
      <c r="L32" s="24">
        <f>SUMIF(Raw_Data!A:A,Raw_Data!A32,Raw_Data!D:D)</f>
        <v>32</v>
      </c>
      <c r="M32" s="24" cm="1">
        <f t="array" ref="M32">SUMPRODUCT((Raw_Data!A$2:A$61=A32)*(Raw_Data!D$2:D$61)*(Raw_Data!E$2:E$61))</f>
        <v>3860</v>
      </c>
      <c r="N32" s="24">
        <f>COUNTIFS(Raw_Data!A:A, A32, Raw_Data!F:F, "Y")</f>
        <v>3</v>
      </c>
      <c r="O32" s="5">
        <f>COUNTIFS(Raw_Data!A:A,A32,Raw_Data!H:H,"Present")/COUNTIF(Raw_Data!A:A,A32)</f>
        <v>0.66666666666666663</v>
      </c>
      <c r="P32" s="24">
        <f>SUMIF(Raw_Data!A:A, A32, Raw_Data!G:G)</f>
        <v>100.48</v>
      </c>
      <c r="Q32" s="24">
        <f t="shared" si="0"/>
        <v>3759.52</v>
      </c>
      <c r="R32" s="34">
        <f>SUMIF(Raw_Data!A:A,Raw_Data!A32,Raw_Data!D:D)/COUNTIFS(Raw_Data!A:A,Raw_Data!A32,Raw_Data!H:H,"Present")</f>
        <v>8</v>
      </c>
      <c r="S32" s="35">
        <f>Table2[[#This Row],[Total_Earnings]]/COUNTIFS(Raw_Data!A:A,Raw_Data!A32,Raw_Data!H:H,"Present")</f>
        <v>965</v>
      </c>
      <c r="T32" s="2">
        <f>_xlfn.MAXIFS(Raw_Data!D:D,Raw_Data!A:A,A32)</f>
        <v>11</v>
      </c>
      <c r="U32" s="36">
        <f>COUNTIFS(Raw_Data!A:A,A32,Raw_Data!F:F,"Y")
/
COUNTIF(Raw_Data!A:A,A32)</f>
        <v>0.5</v>
      </c>
      <c r="V32" s="2" t="str">
        <f>_xlfn.XLOOKUP(A32,Raw_Data!A:A,Raw_Data!I:I)</f>
        <v>Rohini</v>
      </c>
    </row>
    <row r="33" spans="1:22" x14ac:dyDescent="0.4">
      <c r="A33" s="19" t="s">
        <v>14</v>
      </c>
      <c r="B33" s="19" t="s">
        <v>15</v>
      </c>
      <c r="C33" s="20">
        <v>46170</v>
      </c>
      <c r="D33" s="19">
        <v>11</v>
      </c>
      <c r="E33" s="19">
        <v>110</v>
      </c>
      <c r="F33" s="21" t="s">
        <v>16</v>
      </c>
      <c r="G33" s="19">
        <v>100.35</v>
      </c>
      <c r="H33" s="19" t="s">
        <v>12</v>
      </c>
      <c r="I33" s="19" t="s">
        <v>22</v>
      </c>
      <c r="J33" s="22" t="str">
        <f>VLOOKUP(Raw_Data!A33,Raw_Data!A33:I92,1)</f>
        <v>RID002</v>
      </c>
      <c r="K33" s="23" t="str">
        <f>_xlfn.XLOOKUP(A33, Raw_Data!A:A, Raw_Data!B:B)</f>
        <v>Rohit Sharma</v>
      </c>
      <c r="L33" s="22">
        <f>SUMIF(Raw_Data!A:A,Raw_Data!A33,Raw_Data!D:D)</f>
        <v>49</v>
      </c>
      <c r="M33" s="22" cm="1">
        <f t="array" ref="M33">SUMPRODUCT((Raw_Data!A$2:A$61=A33)*(Raw_Data!D$2:D$61)*(Raw_Data!E$2:E$61))</f>
        <v>5516</v>
      </c>
      <c r="N33" s="22">
        <f>COUNTIFS(Raw_Data!A:A, A33, Raw_Data!F:F, "Y")</f>
        <v>3</v>
      </c>
      <c r="O33" s="4">
        <f>COUNTIFS(Raw_Data!A:A,A33,Raw_Data!H:H,"Present")/COUNTIF(Raw_Data!A:A,A33)</f>
        <v>1</v>
      </c>
      <c r="P33" s="22">
        <f>SUMIF(Raw_Data!A:A, A33, Raw_Data!G:G)</f>
        <v>255.2</v>
      </c>
      <c r="Q33" s="22">
        <f t="shared" si="0"/>
        <v>5260.8</v>
      </c>
      <c r="R33" s="34">
        <f>SUMIF(Raw_Data!A:A,Raw_Data!A33,Raw_Data!D:D)/COUNTIFS(Raw_Data!A:A,Raw_Data!A33,Raw_Data!H:H,"Present")</f>
        <v>8.1666666666666661</v>
      </c>
      <c r="S33" s="35">
        <f>Table2[[#This Row],[Total_Earnings]]/COUNTIFS(Raw_Data!A:A,Raw_Data!A33,Raw_Data!H:H,"Present")</f>
        <v>919.33333333333337</v>
      </c>
      <c r="T33" s="2">
        <f>_xlfn.MAXIFS(Raw_Data!D:D,Raw_Data!A:A,A33)</f>
        <v>11</v>
      </c>
      <c r="U33" s="36">
        <f>COUNTIFS(Raw_Data!A:A,A33,Raw_Data!F:F,"Y")
/
COUNTIF(Raw_Data!A:A,A33)</f>
        <v>0.5</v>
      </c>
      <c r="V33" s="2" t="str">
        <f>_xlfn.XLOOKUP(A33,Raw_Data!A:A,Raw_Data!I:I)</f>
        <v>Rohini</v>
      </c>
    </row>
    <row r="34" spans="1:22" x14ac:dyDescent="0.4">
      <c r="A34" s="14" t="s">
        <v>17</v>
      </c>
      <c r="B34" s="14" t="s">
        <v>18</v>
      </c>
      <c r="C34" s="15">
        <v>46160</v>
      </c>
      <c r="D34" s="14">
        <v>12</v>
      </c>
      <c r="E34" s="14">
        <v>140</v>
      </c>
      <c r="F34" s="16" t="s">
        <v>11</v>
      </c>
      <c r="G34" s="14">
        <v>117.69</v>
      </c>
      <c r="H34" s="14" t="s">
        <v>12</v>
      </c>
      <c r="I34" s="14" t="s">
        <v>34</v>
      </c>
      <c r="J34" s="24" t="str">
        <f>VLOOKUP(Raw_Data!A34,Raw_Data!A34:I93,1)</f>
        <v>RID003</v>
      </c>
      <c r="K34" s="25" t="str">
        <f>_xlfn.XLOOKUP(A34, Raw_Data!A:A, Raw_Data!B:B)</f>
        <v>Vikas Yadav</v>
      </c>
      <c r="L34" s="24">
        <f>SUMIF(Raw_Data!A:A,Raw_Data!A34,Raw_Data!D:D)</f>
        <v>52</v>
      </c>
      <c r="M34" s="24" cm="1">
        <f t="array" ref="M34">SUMPRODUCT((Raw_Data!A$2:A$61=A34)*(Raw_Data!D$2:D$61)*(Raw_Data!E$2:E$61))</f>
        <v>5609</v>
      </c>
      <c r="N34" s="24">
        <f>COUNTIFS(Raw_Data!A:A, A34, Raw_Data!F:F, "Y")</f>
        <v>4</v>
      </c>
      <c r="O34" s="5">
        <f>COUNTIFS(Raw_Data!A:A,A34,Raw_Data!H:H,"Present")/COUNTIF(Raw_Data!A:A,A34)</f>
        <v>0.83333333333333337</v>
      </c>
      <c r="P34" s="24">
        <f>SUMIF(Raw_Data!A:A, A34, Raw_Data!G:G)</f>
        <v>462.97</v>
      </c>
      <c r="Q34" s="24">
        <f t="shared" ref="Q34:Q61" si="1">M34-P34</f>
        <v>5146.03</v>
      </c>
      <c r="R34" s="34">
        <f>SUMIF(Raw_Data!A:A,Raw_Data!A34,Raw_Data!D:D)/COUNTIFS(Raw_Data!A:A,Raw_Data!A34,Raw_Data!H:H,"Present")</f>
        <v>10.4</v>
      </c>
      <c r="S34" s="35">
        <f>Table2[[#This Row],[Total_Earnings]]/COUNTIFS(Raw_Data!A:A,Raw_Data!A34,Raw_Data!H:H,"Present")</f>
        <v>1121.8</v>
      </c>
      <c r="T34" s="2">
        <f>_xlfn.MAXIFS(Raw_Data!D:D,Raw_Data!A:A,A34)</f>
        <v>12</v>
      </c>
      <c r="U34" s="36">
        <f>COUNTIFS(Raw_Data!A:A,A34,Raw_Data!F:F,"Y")
/
COUNTIF(Raw_Data!A:A,A34)</f>
        <v>0.66666666666666663</v>
      </c>
      <c r="V34" s="2" t="str">
        <f>_xlfn.XLOOKUP(A34,Raw_Data!A:A,Raw_Data!I:I)</f>
        <v>Punjabi Bagh</v>
      </c>
    </row>
    <row r="35" spans="1:22" x14ac:dyDescent="0.4">
      <c r="A35" s="19" t="s">
        <v>20</v>
      </c>
      <c r="B35" s="19" t="s">
        <v>21</v>
      </c>
      <c r="C35" s="20">
        <v>46149</v>
      </c>
      <c r="D35" s="19">
        <v>9</v>
      </c>
      <c r="E35" s="19">
        <v>125</v>
      </c>
      <c r="F35" s="21" t="s">
        <v>16</v>
      </c>
      <c r="G35" s="19">
        <v>61.67</v>
      </c>
      <c r="H35" s="19" t="s">
        <v>12</v>
      </c>
      <c r="I35" s="19" t="s">
        <v>19</v>
      </c>
      <c r="J35" s="22" t="str">
        <f>VLOOKUP(Raw_Data!A35,Raw_Data!A35:I94,1)</f>
        <v>RID004</v>
      </c>
      <c r="K35" s="23" t="str">
        <f>_xlfn.XLOOKUP(A35, Raw_Data!A:A, Raw_Data!B:B)</f>
        <v>Deepak Singh</v>
      </c>
      <c r="L35" s="22">
        <f>SUMIF(Raw_Data!A:A,Raw_Data!A35,Raw_Data!D:D)</f>
        <v>46</v>
      </c>
      <c r="M35" s="22" cm="1">
        <f t="array" ref="M35">SUMPRODUCT((Raw_Data!A$2:A$61=A35)*(Raw_Data!D$2:D$61)*(Raw_Data!E$2:E$61))</f>
        <v>4622</v>
      </c>
      <c r="N35" s="22">
        <f>COUNTIFS(Raw_Data!A:A, A35, Raw_Data!F:F, "Y")</f>
        <v>4</v>
      </c>
      <c r="O35" s="4">
        <f>COUNTIFS(Raw_Data!A:A,A35,Raw_Data!H:H,"Present")/COUNTIF(Raw_Data!A:A,A35)</f>
        <v>0.83333333333333337</v>
      </c>
      <c r="P35" s="22">
        <f>SUMIF(Raw_Data!A:A, A35, Raw_Data!G:G)</f>
        <v>409.36</v>
      </c>
      <c r="Q35" s="22">
        <f t="shared" si="1"/>
        <v>4212.6400000000003</v>
      </c>
      <c r="R35" s="34">
        <f>SUMIF(Raw_Data!A:A,Raw_Data!A35,Raw_Data!D:D)/COUNTIFS(Raw_Data!A:A,Raw_Data!A35,Raw_Data!H:H,"Present")</f>
        <v>9.1999999999999993</v>
      </c>
      <c r="S35" s="35">
        <f>Table2[[#This Row],[Total_Earnings]]/COUNTIFS(Raw_Data!A:A,Raw_Data!A35,Raw_Data!H:H,"Present")</f>
        <v>924.4</v>
      </c>
      <c r="T35" s="2">
        <f>_xlfn.MAXIFS(Raw_Data!D:D,Raw_Data!A:A,A35)</f>
        <v>12</v>
      </c>
      <c r="U35" s="36">
        <f>COUNTIFS(Raw_Data!A:A,A35,Raw_Data!F:F,"Y")
/
COUNTIF(Raw_Data!A:A,A35)</f>
        <v>0.66666666666666663</v>
      </c>
      <c r="V35" s="2" t="str">
        <f>_xlfn.XLOOKUP(A35,Raw_Data!A:A,Raw_Data!I:I)</f>
        <v>Dwarka</v>
      </c>
    </row>
    <row r="36" spans="1:22" x14ac:dyDescent="0.4">
      <c r="A36" s="14" t="s">
        <v>23</v>
      </c>
      <c r="B36" s="14" t="s">
        <v>24</v>
      </c>
      <c r="C36" s="15">
        <v>46144</v>
      </c>
      <c r="D36" s="14">
        <v>4</v>
      </c>
      <c r="E36" s="14">
        <v>87</v>
      </c>
      <c r="F36" s="16" t="s">
        <v>16</v>
      </c>
      <c r="G36" s="14">
        <v>109.23</v>
      </c>
      <c r="H36" s="14" t="s">
        <v>12</v>
      </c>
      <c r="I36" s="14" t="s">
        <v>13</v>
      </c>
      <c r="J36" s="24" t="str">
        <f>VLOOKUP(Raw_Data!A36,Raw_Data!A36:I95,1)</f>
        <v>RID005</v>
      </c>
      <c r="K36" s="25" t="str">
        <f>_xlfn.XLOOKUP(A36, Raw_Data!A:A, Raw_Data!B:B)</f>
        <v>Saurabh Gupta</v>
      </c>
      <c r="L36" s="24">
        <f>SUMIF(Raw_Data!A:A,Raw_Data!A36,Raw_Data!D:D)</f>
        <v>30</v>
      </c>
      <c r="M36" s="24" cm="1">
        <f t="array" ref="M36">SUMPRODUCT((Raw_Data!A$2:A$61=A36)*(Raw_Data!D$2:D$61)*(Raw_Data!E$2:E$61))</f>
        <v>2851</v>
      </c>
      <c r="N36" s="24">
        <f>COUNTIFS(Raw_Data!A:A, A36, Raw_Data!F:F, "Y")</f>
        <v>3</v>
      </c>
      <c r="O36" s="5">
        <f>COUNTIFS(Raw_Data!A:A,A36,Raw_Data!H:H,"Present")/COUNTIF(Raw_Data!A:A,A36)</f>
        <v>0.83333333333333337</v>
      </c>
      <c r="P36" s="24">
        <f>SUMIF(Raw_Data!A:A, A36, Raw_Data!G:G)</f>
        <v>589.1</v>
      </c>
      <c r="Q36" s="24">
        <f t="shared" si="1"/>
        <v>2261.9</v>
      </c>
      <c r="R36" s="34">
        <f>SUMIF(Raw_Data!A:A,Raw_Data!A36,Raw_Data!D:D)/COUNTIFS(Raw_Data!A:A,Raw_Data!A36,Raw_Data!H:H,"Present")</f>
        <v>6</v>
      </c>
      <c r="S36" s="35">
        <f>Table2[[#This Row],[Total_Earnings]]/COUNTIFS(Raw_Data!A:A,Raw_Data!A36,Raw_Data!H:H,"Present")</f>
        <v>570.20000000000005</v>
      </c>
      <c r="T36" s="2">
        <f>_xlfn.MAXIFS(Raw_Data!D:D,Raw_Data!A:A,A36)</f>
        <v>10</v>
      </c>
      <c r="U36" s="36">
        <f>COUNTIFS(Raw_Data!A:A,A36,Raw_Data!F:F,"Y")
/
COUNTIF(Raw_Data!A:A,A36)</f>
        <v>0.5</v>
      </c>
      <c r="V36" s="2" t="str">
        <f>_xlfn.XLOOKUP(A36,Raw_Data!A:A,Raw_Data!I:I)</f>
        <v>Janakpuri</v>
      </c>
    </row>
    <row r="37" spans="1:22" x14ac:dyDescent="0.4">
      <c r="A37" s="19" t="s">
        <v>26</v>
      </c>
      <c r="B37" s="19" t="s">
        <v>27</v>
      </c>
      <c r="C37" s="20">
        <v>46150</v>
      </c>
      <c r="D37" s="19">
        <v>11</v>
      </c>
      <c r="E37" s="19">
        <v>137</v>
      </c>
      <c r="F37" s="21" t="s">
        <v>11</v>
      </c>
      <c r="G37" s="19">
        <v>63.28</v>
      </c>
      <c r="H37" s="19" t="s">
        <v>12</v>
      </c>
      <c r="I37" s="19" t="s">
        <v>25</v>
      </c>
      <c r="J37" s="22" t="str">
        <f>VLOOKUP(Raw_Data!A37,Raw_Data!A37:I96,1)</f>
        <v>RID006</v>
      </c>
      <c r="K37" s="23" t="str">
        <f>_xlfn.XLOOKUP(A37, Raw_Data!A:A, Raw_Data!B:B)</f>
        <v>Ankit Verma</v>
      </c>
      <c r="L37" s="22">
        <f>SUMIF(Raw_Data!A:A,Raw_Data!A37,Raw_Data!D:D)</f>
        <v>50</v>
      </c>
      <c r="M37" s="22" cm="1">
        <f t="array" ref="M37">SUMPRODUCT((Raw_Data!A$2:A$61=A37)*(Raw_Data!D$2:D$61)*(Raw_Data!E$2:E$61))</f>
        <v>5237</v>
      </c>
      <c r="N37" s="22">
        <f>COUNTIFS(Raw_Data!A:A, A37, Raw_Data!F:F, "Y")</f>
        <v>4</v>
      </c>
      <c r="O37" s="4">
        <f>COUNTIFS(Raw_Data!A:A,A37,Raw_Data!H:H,"Present")/COUNTIF(Raw_Data!A:A,A37)</f>
        <v>1</v>
      </c>
      <c r="P37" s="22">
        <f>SUMIF(Raw_Data!A:A, A37, Raw_Data!G:G)</f>
        <v>422.47</v>
      </c>
      <c r="Q37" s="22">
        <f t="shared" si="1"/>
        <v>4814.53</v>
      </c>
      <c r="R37" s="34">
        <f>SUMIF(Raw_Data!A:A,Raw_Data!A37,Raw_Data!D:D)/COUNTIFS(Raw_Data!A:A,Raw_Data!A37,Raw_Data!H:H,"Present")</f>
        <v>8.3333333333333339</v>
      </c>
      <c r="S37" s="35">
        <f>Table2[[#This Row],[Total_Earnings]]/COUNTIFS(Raw_Data!A:A,Raw_Data!A37,Raw_Data!H:H,"Present")</f>
        <v>872.83333333333337</v>
      </c>
      <c r="T37" s="2">
        <f>_xlfn.MAXIFS(Raw_Data!D:D,Raw_Data!A:A,A37)</f>
        <v>12</v>
      </c>
      <c r="U37" s="36">
        <f>COUNTIFS(Raw_Data!A:A,A37,Raw_Data!F:F,"Y")
/
COUNTIF(Raw_Data!A:A,A37)</f>
        <v>0.66666666666666663</v>
      </c>
      <c r="V37" s="2" t="str">
        <f>_xlfn.XLOOKUP(A37,Raw_Data!A:A,Raw_Data!I:I)</f>
        <v>Rohini</v>
      </c>
    </row>
    <row r="38" spans="1:22" x14ac:dyDescent="0.4">
      <c r="A38" s="14" t="s">
        <v>28</v>
      </c>
      <c r="B38" s="14" t="s">
        <v>29</v>
      </c>
      <c r="C38" s="15">
        <v>46157</v>
      </c>
      <c r="D38" s="14">
        <v>4</v>
      </c>
      <c r="E38" s="14">
        <v>136</v>
      </c>
      <c r="F38" s="16" t="s">
        <v>11</v>
      </c>
      <c r="G38" s="14">
        <v>7.59</v>
      </c>
      <c r="H38" s="14" t="s">
        <v>12</v>
      </c>
      <c r="I38" s="14" t="s">
        <v>38</v>
      </c>
      <c r="J38" s="24" t="str">
        <f>VLOOKUP(Raw_Data!A38,Raw_Data!A38:I97,1)</f>
        <v>RID007</v>
      </c>
      <c r="K38" s="25" t="str">
        <f>_xlfn.XLOOKUP(A38, Raw_Data!A:A, Raw_Data!B:B)</f>
        <v>Mohit Kumar</v>
      </c>
      <c r="L38" s="24">
        <f>SUMIF(Raw_Data!A:A,Raw_Data!A38,Raw_Data!D:D)</f>
        <v>37</v>
      </c>
      <c r="M38" s="24" cm="1">
        <f t="array" ref="M38">SUMPRODUCT((Raw_Data!A$2:A$61=A38)*(Raw_Data!D$2:D$61)*(Raw_Data!E$2:E$61))</f>
        <v>4881</v>
      </c>
      <c r="N38" s="24">
        <f>COUNTIFS(Raw_Data!A:A, A38, Raw_Data!F:F, "Y")</f>
        <v>3</v>
      </c>
      <c r="O38" s="5">
        <f>COUNTIFS(Raw_Data!A:A,A38,Raw_Data!H:H,"Present")/COUNTIF(Raw_Data!A:A,A38)</f>
        <v>1</v>
      </c>
      <c r="P38" s="24">
        <f>SUMIF(Raw_Data!A:A, A38, Raw_Data!G:G)</f>
        <v>469.15</v>
      </c>
      <c r="Q38" s="24">
        <f t="shared" si="1"/>
        <v>4411.8500000000004</v>
      </c>
      <c r="R38" s="34">
        <f>SUMIF(Raw_Data!A:A,Raw_Data!A38,Raw_Data!D:D)/COUNTIFS(Raw_Data!A:A,Raw_Data!A38,Raw_Data!H:H,"Present")</f>
        <v>6.166666666666667</v>
      </c>
      <c r="S38" s="35">
        <f>Table2[[#This Row],[Total_Earnings]]/COUNTIFS(Raw_Data!A:A,Raw_Data!A38,Raw_Data!H:H,"Present")</f>
        <v>813.5</v>
      </c>
      <c r="T38" s="2">
        <f>_xlfn.MAXIFS(Raw_Data!D:D,Raw_Data!A:A,A38)</f>
        <v>9</v>
      </c>
      <c r="U38" s="36">
        <f>COUNTIFS(Raw_Data!A:A,A38,Raw_Data!F:F,"Y")
/
COUNTIF(Raw_Data!A:A,A38)</f>
        <v>0.5</v>
      </c>
      <c r="V38" s="2" t="str">
        <f>_xlfn.XLOOKUP(A38,Raw_Data!A:A,Raw_Data!I:I)</f>
        <v>Punjabi Bagh</v>
      </c>
    </row>
    <row r="39" spans="1:22" x14ac:dyDescent="0.4">
      <c r="A39" s="19" t="s">
        <v>30</v>
      </c>
      <c r="B39" s="19" t="s">
        <v>31</v>
      </c>
      <c r="C39" s="20">
        <v>46169</v>
      </c>
      <c r="D39" s="19">
        <v>4</v>
      </c>
      <c r="E39" s="19">
        <v>110</v>
      </c>
      <c r="F39" s="21" t="s">
        <v>11</v>
      </c>
      <c r="G39" s="19">
        <v>60.96</v>
      </c>
      <c r="H39" s="19" t="s">
        <v>12</v>
      </c>
      <c r="I39" s="19" t="s">
        <v>34</v>
      </c>
      <c r="J39" s="22" t="str">
        <f>VLOOKUP(Raw_Data!A39,Raw_Data!A39:I98,1)</f>
        <v>RID008</v>
      </c>
      <c r="K39" s="23" t="str">
        <f>_xlfn.XLOOKUP(A39, Raw_Data!A:A, Raw_Data!B:B)</f>
        <v>Rahul Jain</v>
      </c>
      <c r="L39" s="22">
        <f>SUMIF(Raw_Data!A:A,Raw_Data!A39,Raw_Data!D:D)</f>
        <v>42</v>
      </c>
      <c r="M39" s="22" cm="1">
        <f t="array" ref="M39">SUMPRODUCT((Raw_Data!A$2:A$61=A39)*(Raw_Data!D$2:D$61)*(Raw_Data!E$2:E$61))</f>
        <v>4641</v>
      </c>
      <c r="N39" s="22">
        <f>COUNTIFS(Raw_Data!A:A, A39, Raw_Data!F:F, "Y")</f>
        <v>6</v>
      </c>
      <c r="O39" s="4">
        <f>COUNTIFS(Raw_Data!A:A,A39,Raw_Data!H:H,"Present")/COUNTIF(Raw_Data!A:A,A39)</f>
        <v>1</v>
      </c>
      <c r="P39" s="22">
        <f>SUMIF(Raw_Data!A:A, A39, Raw_Data!G:G)</f>
        <v>484.25000000000006</v>
      </c>
      <c r="Q39" s="22">
        <f t="shared" si="1"/>
        <v>4156.75</v>
      </c>
      <c r="R39" s="34">
        <f>SUMIF(Raw_Data!A:A,Raw_Data!A39,Raw_Data!D:D)/COUNTIFS(Raw_Data!A:A,Raw_Data!A39,Raw_Data!H:H,"Present")</f>
        <v>7</v>
      </c>
      <c r="S39" s="35">
        <f>Table2[[#This Row],[Total_Earnings]]/COUNTIFS(Raw_Data!A:A,Raw_Data!A39,Raw_Data!H:H,"Present")</f>
        <v>773.5</v>
      </c>
      <c r="T39" s="2">
        <f>_xlfn.MAXIFS(Raw_Data!D:D,Raw_Data!A:A,A39)</f>
        <v>12</v>
      </c>
      <c r="U39" s="36">
        <f>COUNTIFS(Raw_Data!A:A,A39,Raw_Data!F:F,"Y")
/
COUNTIF(Raw_Data!A:A,A39)</f>
        <v>1</v>
      </c>
      <c r="V39" s="2" t="str">
        <f>_xlfn.XLOOKUP(A39,Raw_Data!A:A,Raw_Data!I:I)</f>
        <v>Dwarka</v>
      </c>
    </row>
    <row r="40" spans="1:22" x14ac:dyDescent="0.4">
      <c r="A40" s="14" t="s">
        <v>32</v>
      </c>
      <c r="B40" s="14" t="s">
        <v>33</v>
      </c>
      <c r="C40" s="15">
        <v>46149</v>
      </c>
      <c r="D40" s="14">
        <v>3</v>
      </c>
      <c r="E40" s="14">
        <v>101</v>
      </c>
      <c r="F40" s="16" t="s">
        <v>16</v>
      </c>
      <c r="G40" s="14">
        <v>0.32</v>
      </c>
      <c r="H40" s="14" t="s">
        <v>12</v>
      </c>
      <c r="I40" s="14" t="s">
        <v>34</v>
      </c>
      <c r="J40" s="24" t="str">
        <f>VLOOKUP(Raw_Data!A40,Raw_Data!A40:I99,1)</f>
        <v>RID009</v>
      </c>
      <c r="K40" s="25" t="str">
        <f>_xlfn.XLOOKUP(A40, Raw_Data!A:A, Raw_Data!B:B)</f>
        <v>Nitin Chaudhary</v>
      </c>
      <c r="L40" s="24">
        <f>SUMIF(Raw_Data!A:A,Raw_Data!A40,Raw_Data!D:D)</f>
        <v>42</v>
      </c>
      <c r="M40" s="24" cm="1">
        <f t="array" ref="M40">SUMPRODUCT((Raw_Data!A$2:A$61=A40)*(Raw_Data!D$2:D$61)*(Raw_Data!E$2:E$61))</f>
        <v>4964</v>
      </c>
      <c r="N40" s="24">
        <f>COUNTIFS(Raw_Data!A:A, A40, Raw_Data!F:F, "Y")</f>
        <v>3</v>
      </c>
      <c r="O40" s="5">
        <f>COUNTIFS(Raw_Data!A:A,A40,Raw_Data!H:H,"Present")/COUNTIF(Raw_Data!A:A,A40)</f>
        <v>1</v>
      </c>
      <c r="P40" s="24">
        <f>SUMIF(Raw_Data!A:A, A40, Raw_Data!G:G)</f>
        <v>396.72</v>
      </c>
      <c r="Q40" s="24">
        <f t="shared" si="1"/>
        <v>4567.28</v>
      </c>
      <c r="R40" s="34">
        <f>SUMIF(Raw_Data!A:A,Raw_Data!A40,Raw_Data!D:D)/COUNTIFS(Raw_Data!A:A,Raw_Data!A40,Raw_Data!H:H,"Present")</f>
        <v>7</v>
      </c>
      <c r="S40" s="35">
        <f>Table2[[#This Row],[Total_Earnings]]/COUNTIFS(Raw_Data!A:A,Raw_Data!A40,Raw_Data!H:H,"Present")</f>
        <v>827.33333333333337</v>
      </c>
      <c r="T40" s="2">
        <f>_xlfn.MAXIFS(Raw_Data!D:D,Raw_Data!A:A,A40)</f>
        <v>11</v>
      </c>
      <c r="U40" s="36">
        <f>COUNTIFS(Raw_Data!A:A,A40,Raw_Data!F:F,"Y")
/
COUNTIF(Raw_Data!A:A,A40)</f>
        <v>0.5</v>
      </c>
      <c r="V40" s="2" t="str">
        <f>_xlfn.XLOOKUP(A40,Raw_Data!A:A,Raw_Data!I:I)</f>
        <v>Pitampura</v>
      </c>
    </row>
    <row r="41" spans="1:22" x14ac:dyDescent="0.4">
      <c r="A41" s="19" t="s">
        <v>35</v>
      </c>
      <c r="B41" s="19" t="s">
        <v>36</v>
      </c>
      <c r="C41" s="20">
        <v>46151</v>
      </c>
      <c r="D41" s="19">
        <v>0</v>
      </c>
      <c r="E41" s="19">
        <v>0</v>
      </c>
      <c r="F41" s="21" t="s">
        <v>16</v>
      </c>
      <c r="G41" s="19">
        <v>0</v>
      </c>
      <c r="H41" s="19" t="s">
        <v>37</v>
      </c>
      <c r="I41" s="19" t="s">
        <v>34</v>
      </c>
      <c r="J41" s="22" t="str">
        <f>VLOOKUP(Raw_Data!A41,Raw_Data!A41:I100,1)</f>
        <v>RID010</v>
      </c>
      <c r="K41" s="23" t="str">
        <f>_xlfn.XLOOKUP(A41, Raw_Data!A:A, Raw_Data!B:B)</f>
        <v>Pankaj Malik</v>
      </c>
      <c r="L41" s="22">
        <f>SUMIF(Raw_Data!A:A,Raw_Data!A41,Raw_Data!D:D)</f>
        <v>23</v>
      </c>
      <c r="M41" s="22" cm="1">
        <f t="array" ref="M41">SUMPRODUCT((Raw_Data!A$2:A$61=A41)*(Raw_Data!D$2:D$61)*(Raw_Data!E$2:E$61))</f>
        <v>2852</v>
      </c>
      <c r="N41" s="22">
        <f>COUNTIFS(Raw_Data!A:A, A41, Raw_Data!F:F, "Y")</f>
        <v>2</v>
      </c>
      <c r="O41" s="4">
        <f>COUNTIFS(Raw_Data!A:A,A41,Raw_Data!H:H,"Present")/COUNTIF(Raw_Data!A:A,A41)</f>
        <v>0.66666666666666663</v>
      </c>
      <c r="P41" s="22">
        <f>SUMIF(Raw_Data!A:A, A41, Raw_Data!G:G)</f>
        <v>161.67000000000002</v>
      </c>
      <c r="Q41" s="22">
        <f t="shared" si="1"/>
        <v>2690.33</v>
      </c>
      <c r="R41" s="34">
        <f>SUMIF(Raw_Data!A:A,Raw_Data!A41,Raw_Data!D:D)/COUNTIFS(Raw_Data!A:A,Raw_Data!A41,Raw_Data!H:H,"Present")</f>
        <v>5.75</v>
      </c>
      <c r="S41" s="35">
        <f>Table2[[#This Row],[Total_Earnings]]/COUNTIFS(Raw_Data!A:A,Raw_Data!A41,Raw_Data!H:H,"Present")</f>
        <v>713</v>
      </c>
      <c r="T41" s="2">
        <f>_xlfn.MAXIFS(Raw_Data!D:D,Raw_Data!A:A,A41)</f>
        <v>7</v>
      </c>
      <c r="U41" s="36">
        <f>COUNTIFS(Raw_Data!A:A,A41,Raw_Data!F:F,"Y")
/
COUNTIF(Raw_Data!A:A,A41)</f>
        <v>0.33333333333333331</v>
      </c>
      <c r="V41" s="2" t="str">
        <f>_xlfn.XLOOKUP(A41,Raw_Data!A:A,Raw_Data!I:I)</f>
        <v>Janakpuri</v>
      </c>
    </row>
    <row r="42" spans="1:22" x14ac:dyDescent="0.4">
      <c r="A42" s="14" t="s">
        <v>9</v>
      </c>
      <c r="B42" s="14" t="s">
        <v>10</v>
      </c>
      <c r="C42" s="15">
        <v>46152</v>
      </c>
      <c r="D42" s="14">
        <v>11</v>
      </c>
      <c r="E42" s="14">
        <v>142</v>
      </c>
      <c r="F42" s="16" t="s">
        <v>11</v>
      </c>
      <c r="G42" s="14">
        <v>28.48</v>
      </c>
      <c r="H42" s="14" t="s">
        <v>12</v>
      </c>
      <c r="I42" s="14" t="s">
        <v>22</v>
      </c>
      <c r="J42" s="24" t="str">
        <f>VLOOKUP(Raw_Data!A42,Raw_Data!A42:I101,1)</f>
        <v>RID001</v>
      </c>
      <c r="K42" s="25" t="str">
        <f>_xlfn.XLOOKUP(A42, Raw_Data!A:A, Raw_Data!B:B)</f>
        <v>Aman Kumar</v>
      </c>
      <c r="L42" s="24">
        <f>SUMIF(Raw_Data!A:A,Raw_Data!A42,Raw_Data!D:D)</f>
        <v>32</v>
      </c>
      <c r="M42" s="24" cm="1">
        <f t="array" ref="M42">SUMPRODUCT((Raw_Data!A$2:A$61=A42)*(Raw_Data!D$2:D$61)*(Raw_Data!E$2:E$61))</f>
        <v>3860</v>
      </c>
      <c r="N42" s="24">
        <f>COUNTIFS(Raw_Data!A:A, A42, Raw_Data!F:F, "Y")</f>
        <v>3</v>
      </c>
      <c r="O42" s="5">
        <f>COUNTIFS(Raw_Data!A:A,A42,Raw_Data!H:H,"Present")/COUNTIF(Raw_Data!A:A,A42)</f>
        <v>0.66666666666666663</v>
      </c>
      <c r="P42" s="24">
        <f>SUMIF(Raw_Data!A:A, A42, Raw_Data!G:G)</f>
        <v>100.48</v>
      </c>
      <c r="Q42" s="24">
        <f t="shared" si="1"/>
        <v>3759.52</v>
      </c>
      <c r="R42" s="34">
        <f>SUMIF(Raw_Data!A:A,Raw_Data!A42,Raw_Data!D:D)/COUNTIFS(Raw_Data!A:A,Raw_Data!A42,Raw_Data!H:H,"Present")</f>
        <v>8</v>
      </c>
      <c r="S42" s="35">
        <f>Table2[[#This Row],[Total_Earnings]]/COUNTIFS(Raw_Data!A:A,Raw_Data!A42,Raw_Data!H:H,"Present")</f>
        <v>965</v>
      </c>
      <c r="T42" s="2">
        <f>_xlfn.MAXIFS(Raw_Data!D:D,Raw_Data!A:A,A42)</f>
        <v>11</v>
      </c>
      <c r="U42" s="36">
        <f>COUNTIFS(Raw_Data!A:A,A42,Raw_Data!F:F,"Y")
/
COUNTIF(Raw_Data!A:A,A42)</f>
        <v>0.5</v>
      </c>
      <c r="V42" s="2" t="str">
        <f>_xlfn.XLOOKUP(A42,Raw_Data!A:A,Raw_Data!I:I)</f>
        <v>Rohini</v>
      </c>
    </row>
    <row r="43" spans="1:22" x14ac:dyDescent="0.4">
      <c r="A43" s="19" t="s">
        <v>14</v>
      </c>
      <c r="B43" s="19" t="s">
        <v>15</v>
      </c>
      <c r="C43" s="20">
        <v>46144</v>
      </c>
      <c r="D43" s="19">
        <v>11</v>
      </c>
      <c r="E43" s="19">
        <v>87</v>
      </c>
      <c r="F43" s="21" t="s">
        <v>16</v>
      </c>
      <c r="G43" s="19">
        <v>8.57</v>
      </c>
      <c r="H43" s="19" t="s">
        <v>12</v>
      </c>
      <c r="I43" s="19" t="s">
        <v>38</v>
      </c>
      <c r="J43" s="22" t="str">
        <f>VLOOKUP(Raw_Data!A43,Raw_Data!A43:I102,1)</f>
        <v>RID002</v>
      </c>
      <c r="K43" s="23" t="str">
        <f>_xlfn.XLOOKUP(A43, Raw_Data!A:A, Raw_Data!B:B)</f>
        <v>Rohit Sharma</v>
      </c>
      <c r="L43" s="22">
        <f>SUMIF(Raw_Data!A:A,Raw_Data!A43,Raw_Data!D:D)</f>
        <v>49</v>
      </c>
      <c r="M43" s="22" cm="1">
        <f t="array" ref="M43">SUMPRODUCT((Raw_Data!A$2:A$61=A43)*(Raw_Data!D$2:D$61)*(Raw_Data!E$2:E$61))</f>
        <v>5516</v>
      </c>
      <c r="N43" s="22">
        <f>COUNTIFS(Raw_Data!A:A, A43, Raw_Data!F:F, "Y")</f>
        <v>3</v>
      </c>
      <c r="O43" s="4">
        <f>COUNTIFS(Raw_Data!A:A,A43,Raw_Data!H:H,"Present")/COUNTIF(Raw_Data!A:A,A43)</f>
        <v>1</v>
      </c>
      <c r="P43" s="22">
        <f>SUMIF(Raw_Data!A:A, A43, Raw_Data!G:G)</f>
        <v>255.2</v>
      </c>
      <c r="Q43" s="22">
        <f t="shared" si="1"/>
        <v>5260.8</v>
      </c>
      <c r="R43" s="34">
        <f>SUMIF(Raw_Data!A:A,Raw_Data!A43,Raw_Data!D:D)/COUNTIFS(Raw_Data!A:A,Raw_Data!A43,Raw_Data!H:H,"Present")</f>
        <v>8.1666666666666661</v>
      </c>
      <c r="S43" s="35">
        <f>Table2[[#This Row],[Total_Earnings]]/COUNTIFS(Raw_Data!A:A,Raw_Data!A43,Raw_Data!H:H,"Present")</f>
        <v>919.33333333333337</v>
      </c>
      <c r="T43" s="2">
        <f>_xlfn.MAXIFS(Raw_Data!D:D,Raw_Data!A:A,A43)</f>
        <v>11</v>
      </c>
      <c r="U43" s="36">
        <f>COUNTIFS(Raw_Data!A:A,A43,Raw_Data!F:F,"Y")
/
COUNTIF(Raw_Data!A:A,A43)</f>
        <v>0.5</v>
      </c>
      <c r="V43" s="2" t="str">
        <f>_xlfn.XLOOKUP(A43,Raw_Data!A:A,Raw_Data!I:I)</f>
        <v>Rohini</v>
      </c>
    </row>
    <row r="44" spans="1:22" x14ac:dyDescent="0.4">
      <c r="A44" s="14" t="s">
        <v>17</v>
      </c>
      <c r="B44" s="14" t="s">
        <v>18</v>
      </c>
      <c r="C44" s="15">
        <v>46158</v>
      </c>
      <c r="D44" s="14">
        <v>11</v>
      </c>
      <c r="E44" s="14">
        <v>100</v>
      </c>
      <c r="F44" s="16" t="s">
        <v>11</v>
      </c>
      <c r="G44" s="14">
        <v>144.12</v>
      </c>
      <c r="H44" s="14" t="s">
        <v>12</v>
      </c>
      <c r="I44" s="14" t="s">
        <v>13</v>
      </c>
      <c r="J44" s="24" t="str">
        <f>VLOOKUP(Raw_Data!A44,Raw_Data!A44:I103,1)</f>
        <v>RID003</v>
      </c>
      <c r="K44" s="25" t="str">
        <f>_xlfn.XLOOKUP(A44, Raw_Data!A:A, Raw_Data!B:B)</f>
        <v>Vikas Yadav</v>
      </c>
      <c r="L44" s="24">
        <f>SUMIF(Raw_Data!A:A,Raw_Data!A44,Raw_Data!D:D)</f>
        <v>52</v>
      </c>
      <c r="M44" s="24" cm="1">
        <f t="array" ref="M44">SUMPRODUCT((Raw_Data!A$2:A$61=A44)*(Raw_Data!D$2:D$61)*(Raw_Data!E$2:E$61))</f>
        <v>5609</v>
      </c>
      <c r="N44" s="24">
        <f>COUNTIFS(Raw_Data!A:A, A44, Raw_Data!F:F, "Y")</f>
        <v>4</v>
      </c>
      <c r="O44" s="5">
        <f>COUNTIFS(Raw_Data!A:A,A44,Raw_Data!H:H,"Present")/COUNTIF(Raw_Data!A:A,A44)</f>
        <v>0.83333333333333337</v>
      </c>
      <c r="P44" s="24">
        <f>SUMIF(Raw_Data!A:A, A44, Raw_Data!G:G)</f>
        <v>462.97</v>
      </c>
      <c r="Q44" s="24">
        <f t="shared" si="1"/>
        <v>5146.03</v>
      </c>
      <c r="R44" s="34">
        <f>SUMIF(Raw_Data!A:A,Raw_Data!A44,Raw_Data!D:D)/COUNTIFS(Raw_Data!A:A,Raw_Data!A44,Raw_Data!H:H,"Present")</f>
        <v>10.4</v>
      </c>
      <c r="S44" s="35">
        <f>Table2[[#This Row],[Total_Earnings]]/COUNTIFS(Raw_Data!A:A,Raw_Data!A44,Raw_Data!H:H,"Present")</f>
        <v>1121.8</v>
      </c>
      <c r="T44" s="2">
        <f>_xlfn.MAXIFS(Raw_Data!D:D,Raw_Data!A:A,A44)</f>
        <v>12</v>
      </c>
      <c r="U44" s="36">
        <f>COUNTIFS(Raw_Data!A:A,A44,Raw_Data!F:F,"Y")
/
COUNTIF(Raw_Data!A:A,A44)</f>
        <v>0.66666666666666663</v>
      </c>
      <c r="V44" s="2" t="str">
        <f>_xlfn.XLOOKUP(A44,Raw_Data!A:A,Raw_Data!I:I)</f>
        <v>Punjabi Bagh</v>
      </c>
    </row>
    <row r="45" spans="1:22" x14ac:dyDescent="0.4">
      <c r="A45" s="19" t="s">
        <v>20</v>
      </c>
      <c r="B45" s="19" t="s">
        <v>21</v>
      </c>
      <c r="C45" s="20">
        <v>46170</v>
      </c>
      <c r="D45" s="19">
        <v>12</v>
      </c>
      <c r="E45" s="19">
        <v>88</v>
      </c>
      <c r="F45" s="21" t="s">
        <v>11</v>
      </c>
      <c r="G45" s="19">
        <v>60.57</v>
      </c>
      <c r="H45" s="19" t="s">
        <v>12</v>
      </c>
      <c r="I45" s="19" t="s">
        <v>38</v>
      </c>
      <c r="J45" s="22" t="str">
        <f>VLOOKUP(Raw_Data!A45,Raw_Data!A45:I104,1)</f>
        <v>RID004</v>
      </c>
      <c r="K45" s="23" t="str">
        <f>_xlfn.XLOOKUP(A45, Raw_Data!A:A, Raw_Data!B:B)</f>
        <v>Deepak Singh</v>
      </c>
      <c r="L45" s="22">
        <f>SUMIF(Raw_Data!A:A,Raw_Data!A45,Raw_Data!D:D)</f>
        <v>46</v>
      </c>
      <c r="M45" s="22" cm="1">
        <f t="array" ref="M45">SUMPRODUCT((Raw_Data!A$2:A$61=A45)*(Raw_Data!D$2:D$61)*(Raw_Data!E$2:E$61))</f>
        <v>4622</v>
      </c>
      <c r="N45" s="22">
        <f>COUNTIFS(Raw_Data!A:A, A45, Raw_Data!F:F, "Y")</f>
        <v>4</v>
      </c>
      <c r="O45" s="4">
        <f>COUNTIFS(Raw_Data!A:A,A45,Raw_Data!H:H,"Present")/COUNTIF(Raw_Data!A:A,A45)</f>
        <v>0.83333333333333337</v>
      </c>
      <c r="P45" s="22">
        <f>SUMIF(Raw_Data!A:A, A45, Raw_Data!G:G)</f>
        <v>409.36</v>
      </c>
      <c r="Q45" s="22">
        <f t="shared" si="1"/>
        <v>4212.6400000000003</v>
      </c>
      <c r="R45" s="34">
        <f>SUMIF(Raw_Data!A:A,Raw_Data!A45,Raw_Data!D:D)/COUNTIFS(Raw_Data!A:A,Raw_Data!A45,Raw_Data!H:H,"Present")</f>
        <v>9.1999999999999993</v>
      </c>
      <c r="S45" s="35">
        <f>Table2[[#This Row],[Total_Earnings]]/COUNTIFS(Raw_Data!A:A,Raw_Data!A45,Raw_Data!H:H,"Present")</f>
        <v>924.4</v>
      </c>
      <c r="T45" s="2">
        <f>_xlfn.MAXIFS(Raw_Data!D:D,Raw_Data!A:A,A45)</f>
        <v>12</v>
      </c>
      <c r="U45" s="36">
        <f>COUNTIFS(Raw_Data!A:A,A45,Raw_Data!F:F,"Y")
/
COUNTIF(Raw_Data!A:A,A45)</f>
        <v>0.66666666666666663</v>
      </c>
      <c r="V45" s="2" t="str">
        <f>_xlfn.XLOOKUP(A45,Raw_Data!A:A,Raw_Data!I:I)</f>
        <v>Dwarka</v>
      </c>
    </row>
    <row r="46" spans="1:22" x14ac:dyDescent="0.4">
      <c r="A46" s="14" t="s">
        <v>23</v>
      </c>
      <c r="B46" s="14" t="s">
        <v>24</v>
      </c>
      <c r="C46" s="15">
        <v>46150</v>
      </c>
      <c r="D46" s="14">
        <v>3</v>
      </c>
      <c r="E46" s="14">
        <v>90</v>
      </c>
      <c r="F46" s="16" t="s">
        <v>16</v>
      </c>
      <c r="G46" s="14">
        <v>98.61</v>
      </c>
      <c r="H46" s="14" t="s">
        <v>12</v>
      </c>
      <c r="I46" s="14" t="s">
        <v>38</v>
      </c>
      <c r="J46" s="24" t="str">
        <f>VLOOKUP(Raw_Data!A46,Raw_Data!A46:I105,1)</f>
        <v>RID005</v>
      </c>
      <c r="K46" s="25" t="str">
        <f>_xlfn.XLOOKUP(A46, Raw_Data!A:A, Raw_Data!B:B)</f>
        <v>Saurabh Gupta</v>
      </c>
      <c r="L46" s="24">
        <f>SUMIF(Raw_Data!A:A,Raw_Data!A46,Raw_Data!D:D)</f>
        <v>30</v>
      </c>
      <c r="M46" s="24" cm="1">
        <f t="array" ref="M46">SUMPRODUCT((Raw_Data!A$2:A$61=A46)*(Raw_Data!D$2:D$61)*(Raw_Data!E$2:E$61))</f>
        <v>2851</v>
      </c>
      <c r="N46" s="24">
        <f>COUNTIFS(Raw_Data!A:A, A46, Raw_Data!F:F, "Y")</f>
        <v>3</v>
      </c>
      <c r="O46" s="5">
        <f>COUNTIFS(Raw_Data!A:A,A46,Raw_Data!H:H,"Present")/COUNTIF(Raw_Data!A:A,A46)</f>
        <v>0.83333333333333337</v>
      </c>
      <c r="P46" s="24">
        <f>SUMIF(Raw_Data!A:A, A46, Raw_Data!G:G)</f>
        <v>589.1</v>
      </c>
      <c r="Q46" s="24">
        <f t="shared" si="1"/>
        <v>2261.9</v>
      </c>
      <c r="R46" s="34">
        <f>SUMIF(Raw_Data!A:A,Raw_Data!A46,Raw_Data!D:D)/COUNTIFS(Raw_Data!A:A,Raw_Data!A46,Raw_Data!H:H,"Present")</f>
        <v>6</v>
      </c>
      <c r="S46" s="35">
        <f>Table2[[#This Row],[Total_Earnings]]/COUNTIFS(Raw_Data!A:A,Raw_Data!A46,Raw_Data!H:H,"Present")</f>
        <v>570.20000000000005</v>
      </c>
      <c r="T46" s="2">
        <f>_xlfn.MAXIFS(Raw_Data!D:D,Raw_Data!A:A,A46)</f>
        <v>10</v>
      </c>
      <c r="U46" s="36">
        <f>COUNTIFS(Raw_Data!A:A,A46,Raw_Data!F:F,"Y")
/
COUNTIF(Raw_Data!A:A,A46)</f>
        <v>0.5</v>
      </c>
      <c r="V46" s="2" t="str">
        <f>_xlfn.XLOOKUP(A46,Raw_Data!A:A,Raw_Data!I:I)</f>
        <v>Janakpuri</v>
      </c>
    </row>
    <row r="47" spans="1:22" x14ac:dyDescent="0.4">
      <c r="A47" s="19" t="s">
        <v>26</v>
      </c>
      <c r="B47" s="19" t="s">
        <v>27</v>
      </c>
      <c r="C47" s="20">
        <v>46159</v>
      </c>
      <c r="D47" s="19">
        <v>7</v>
      </c>
      <c r="E47" s="19">
        <v>106</v>
      </c>
      <c r="F47" s="21" t="s">
        <v>16</v>
      </c>
      <c r="G47" s="19">
        <v>35.799999999999997</v>
      </c>
      <c r="H47" s="19" t="s">
        <v>12</v>
      </c>
      <c r="I47" s="19" t="s">
        <v>34</v>
      </c>
      <c r="J47" s="22" t="str">
        <f>VLOOKUP(Raw_Data!A47,Raw_Data!A47:I106,1)</f>
        <v>RID006</v>
      </c>
      <c r="K47" s="23" t="str">
        <f>_xlfn.XLOOKUP(A47, Raw_Data!A:A, Raw_Data!B:B)</f>
        <v>Ankit Verma</v>
      </c>
      <c r="L47" s="22">
        <f>SUMIF(Raw_Data!A:A,Raw_Data!A47,Raw_Data!D:D)</f>
        <v>50</v>
      </c>
      <c r="M47" s="22" cm="1">
        <f t="array" ref="M47">SUMPRODUCT((Raw_Data!A$2:A$61=A47)*(Raw_Data!D$2:D$61)*(Raw_Data!E$2:E$61))</f>
        <v>5237</v>
      </c>
      <c r="N47" s="22">
        <f>COUNTIFS(Raw_Data!A:A, A47, Raw_Data!F:F, "Y")</f>
        <v>4</v>
      </c>
      <c r="O47" s="4">
        <f>COUNTIFS(Raw_Data!A:A,A47,Raw_Data!H:H,"Present")/COUNTIF(Raw_Data!A:A,A47)</f>
        <v>1</v>
      </c>
      <c r="P47" s="22">
        <f>SUMIF(Raw_Data!A:A, A47, Raw_Data!G:G)</f>
        <v>422.47</v>
      </c>
      <c r="Q47" s="22">
        <f t="shared" si="1"/>
        <v>4814.53</v>
      </c>
      <c r="R47" s="34">
        <f>SUMIF(Raw_Data!A:A,Raw_Data!A47,Raw_Data!D:D)/COUNTIFS(Raw_Data!A:A,Raw_Data!A47,Raw_Data!H:H,"Present")</f>
        <v>8.3333333333333339</v>
      </c>
      <c r="S47" s="35">
        <f>Table2[[#This Row],[Total_Earnings]]/COUNTIFS(Raw_Data!A:A,Raw_Data!A47,Raw_Data!H:H,"Present")</f>
        <v>872.83333333333337</v>
      </c>
      <c r="T47" s="2">
        <f>_xlfn.MAXIFS(Raw_Data!D:D,Raw_Data!A:A,A47)</f>
        <v>12</v>
      </c>
      <c r="U47" s="36">
        <f>COUNTIFS(Raw_Data!A:A,A47,Raw_Data!F:F,"Y")
/
COUNTIF(Raw_Data!A:A,A47)</f>
        <v>0.66666666666666663</v>
      </c>
      <c r="V47" s="2" t="str">
        <f>_xlfn.XLOOKUP(A47,Raw_Data!A:A,Raw_Data!I:I)</f>
        <v>Rohini</v>
      </c>
    </row>
    <row r="48" spans="1:22" x14ac:dyDescent="0.4">
      <c r="A48" s="14" t="s">
        <v>28</v>
      </c>
      <c r="B48" s="14" t="s">
        <v>29</v>
      </c>
      <c r="C48" s="15">
        <v>46147</v>
      </c>
      <c r="D48" s="14">
        <v>7</v>
      </c>
      <c r="E48" s="14">
        <v>138</v>
      </c>
      <c r="F48" s="16" t="s">
        <v>16</v>
      </c>
      <c r="G48" s="14">
        <v>139.35</v>
      </c>
      <c r="H48" s="14" t="s">
        <v>12</v>
      </c>
      <c r="I48" s="14" t="s">
        <v>13</v>
      </c>
      <c r="J48" s="24" t="str">
        <f>VLOOKUP(Raw_Data!A48,Raw_Data!A48:I107,1)</f>
        <v>RID007</v>
      </c>
      <c r="K48" s="25" t="str">
        <f>_xlfn.XLOOKUP(A48, Raw_Data!A:A, Raw_Data!B:B)</f>
        <v>Mohit Kumar</v>
      </c>
      <c r="L48" s="24">
        <f>SUMIF(Raw_Data!A:A,Raw_Data!A48,Raw_Data!D:D)</f>
        <v>37</v>
      </c>
      <c r="M48" s="24" cm="1">
        <f t="array" ref="M48">SUMPRODUCT((Raw_Data!A$2:A$61=A48)*(Raw_Data!D$2:D$61)*(Raw_Data!E$2:E$61))</f>
        <v>4881</v>
      </c>
      <c r="N48" s="24">
        <f>COUNTIFS(Raw_Data!A:A, A48, Raw_Data!F:F, "Y")</f>
        <v>3</v>
      </c>
      <c r="O48" s="5">
        <f>COUNTIFS(Raw_Data!A:A,A48,Raw_Data!H:H,"Present")/COUNTIF(Raw_Data!A:A,A48)</f>
        <v>1</v>
      </c>
      <c r="P48" s="24">
        <f>SUMIF(Raw_Data!A:A, A48, Raw_Data!G:G)</f>
        <v>469.15</v>
      </c>
      <c r="Q48" s="24">
        <f t="shared" si="1"/>
        <v>4411.8500000000004</v>
      </c>
      <c r="R48" s="34">
        <f>SUMIF(Raw_Data!A:A,Raw_Data!A48,Raw_Data!D:D)/COUNTIFS(Raw_Data!A:A,Raw_Data!A48,Raw_Data!H:H,"Present")</f>
        <v>6.166666666666667</v>
      </c>
      <c r="S48" s="35">
        <f>Table2[[#This Row],[Total_Earnings]]/COUNTIFS(Raw_Data!A:A,Raw_Data!A48,Raw_Data!H:H,"Present")</f>
        <v>813.5</v>
      </c>
      <c r="T48" s="2">
        <f>_xlfn.MAXIFS(Raw_Data!D:D,Raw_Data!A:A,A48)</f>
        <v>9</v>
      </c>
      <c r="U48" s="36">
        <f>COUNTIFS(Raw_Data!A:A,A48,Raw_Data!F:F,"Y")
/
COUNTIF(Raw_Data!A:A,A48)</f>
        <v>0.5</v>
      </c>
      <c r="V48" s="2" t="str">
        <f>_xlfn.XLOOKUP(A48,Raw_Data!A:A,Raw_Data!I:I)</f>
        <v>Punjabi Bagh</v>
      </c>
    </row>
    <row r="49" spans="1:22" x14ac:dyDescent="0.4">
      <c r="A49" s="19" t="s">
        <v>30</v>
      </c>
      <c r="B49" s="19" t="s">
        <v>31</v>
      </c>
      <c r="C49" s="20">
        <v>46143</v>
      </c>
      <c r="D49" s="19">
        <v>12</v>
      </c>
      <c r="E49" s="19">
        <v>92</v>
      </c>
      <c r="F49" s="21" t="s">
        <v>11</v>
      </c>
      <c r="G49" s="19">
        <v>80.650000000000006</v>
      </c>
      <c r="H49" s="19" t="s">
        <v>12</v>
      </c>
      <c r="I49" s="19" t="s">
        <v>38</v>
      </c>
      <c r="J49" s="22" t="str">
        <f>VLOOKUP(Raw_Data!A49,Raw_Data!A49:I108,1)</f>
        <v>RID008</v>
      </c>
      <c r="K49" s="23" t="str">
        <f>_xlfn.XLOOKUP(A49, Raw_Data!A:A, Raw_Data!B:B)</f>
        <v>Rahul Jain</v>
      </c>
      <c r="L49" s="22">
        <f>SUMIF(Raw_Data!A:A,Raw_Data!A49,Raw_Data!D:D)</f>
        <v>42</v>
      </c>
      <c r="M49" s="22" cm="1">
        <f t="array" ref="M49">SUMPRODUCT((Raw_Data!A$2:A$61=A49)*(Raw_Data!D$2:D$61)*(Raw_Data!E$2:E$61))</f>
        <v>4641</v>
      </c>
      <c r="N49" s="22">
        <f>COUNTIFS(Raw_Data!A:A, A49, Raw_Data!F:F, "Y")</f>
        <v>6</v>
      </c>
      <c r="O49" s="4">
        <f>COUNTIFS(Raw_Data!A:A,A49,Raw_Data!H:H,"Present")/COUNTIF(Raw_Data!A:A,A49)</f>
        <v>1</v>
      </c>
      <c r="P49" s="22">
        <f>SUMIF(Raw_Data!A:A, A49, Raw_Data!G:G)</f>
        <v>484.25000000000006</v>
      </c>
      <c r="Q49" s="22">
        <f t="shared" si="1"/>
        <v>4156.75</v>
      </c>
      <c r="R49" s="34">
        <f>SUMIF(Raw_Data!A:A,Raw_Data!A49,Raw_Data!D:D)/COUNTIFS(Raw_Data!A:A,Raw_Data!A49,Raw_Data!H:H,"Present")</f>
        <v>7</v>
      </c>
      <c r="S49" s="35">
        <f>Table2[[#This Row],[Total_Earnings]]/COUNTIFS(Raw_Data!A:A,Raw_Data!A49,Raw_Data!H:H,"Present")</f>
        <v>773.5</v>
      </c>
      <c r="T49" s="2">
        <f>_xlfn.MAXIFS(Raw_Data!D:D,Raw_Data!A:A,A49)</f>
        <v>12</v>
      </c>
      <c r="U49" s="36">
        <f>COUNTIFS(Raw_Data!A:A,A49,Raw_Data!F:F,"Y")
/
COUNTIF(Raw_Data!A:A,A49)</f>
        <v>1</v>
      </c>
      <c r="V49" s="2" t="str">
        <f>_xlfn.XLOOKUP(A49,Raw_Data!A:A,Raw_Data!I:I)</f>
        <v>Dwarka</v>
      </c>
    </row>
    <row r="50" spans="1:22" x14ac:dyDescent="0.4">
      <c r="A50" s="14" t="s">
        <v>32</v>
      </c>
      <c r="B50" s="14" t="s">
        <v>33</v>
      </c>
      <c r="C50" s="15">
        <v>46151</v>
      </c>
      <c r="D50" s="14">
        <v>8</v>
      </c>
      <c r="E50" s="14">
        <v>88</v>
      </c>
      <c r="F50" s="16" t="s">
        <v>11</v>
      </c>
      <c r="G50" s="14">
        <v>55.43</v>
      </c>
      <c r="H50" s="14" t="s">
        <v>12</v>
      </c>
      <c r="I50" s="14" t="s">
        <v>22</v>
      </c>
      <c r="J50" s="24" t="str">
        <f>VLOOKUP(Raw_Data!A50,Raw_Data!A50:I109,1)</f>
        <v>RID009</v>
      </c>
      <c r="K50" s="25" t="str">
        <f>_xlfn.XLOOKUP(A50, Raw_Data!A:A, Raw_Data!B:B)</f>
        <v>Nitin Chaudhary</v>
      </c>
      <c r="L50" s="24">
        <f>SUMIF(Raw_Data!A:A,Raw_Data!A50,Raw_Data!D:D)</f>
        <v>42</v>
      </c>
      <c r="M50" s="24" cm="1">
        <f t="array" ref="M50">SUMPRODUCT((Raw_Data!A$2:A$61=A50)*(Raw_Data!D$2:D$61)*(Raw_Data!E$2:E$61))</f>
        <v>4964</v>
      </c>
      <c r="N50" s="24">
        <f>COUNTIFS(Raw_Data!A:A, A50, Raw_Data!F:F, "Y")</f>
        <v>3</v>
      </c>
      <c r="O50" s="5">
        <f>COUNTIFS(Raw_Data!A:A,A50,Raw_Data!H:H,"Present")/COUNTIF(Raw_Data!A:A,A50)</f>
        <v>1</v>
      </c>
      <c r="P50" s="24">
        <f>SUMIF(Raw_Data!A:A, A50, Raw_Data!G:G)</f>
        <v>396.72</v>
      </c>
      <c r="Q50" s="24">
        <f t="shared" si="1"/>
        <v>4567.28</v>
      </c>
      <c r="R50" s="34">
        <f>SUMIF(Raw_Data!A:A,Raw_Data!A50,Raw_Data!D:D)/COUNTIFS(Raw_Data!A:A,Raw_Data!A50,Raw_Data!H:H,"Present")</f>
        <v>7</v>
      </c>
      <c r="S50" s="35">
        <f>Table2[[#This Row],[Total_Earnings]]/COUNTIFS(Raw_Data!A:A,Raw_Data!A50,Raw_Data!H:H,"Present")</f>
        <v>827.33333333333337</v>
      </c>
      <c r="T50" s="2">
        <f>_xlfn.MAXIFS(Raw_Data!D:D,Raw_Data!A:A,A50)</f>
        <v>11</v>
      </c>
      <c r="U50" s="36">
        <f>COUNTIFS(Raw_Data!A:A,A50,Raw_Data!F:F,"Y")
/
COUNTIF(Raw_Data!A:A,A50)</f>
        <v>0.5</v>
      </c>
      <c r="V50" s="2" t="str">
        <f>_xlfn.XLOOKUP(A50,Raw_Data!A:A,Raw_Data!I:I)</f>
        <v>Pitampura</v>
      </c>
    </row>
    <row r="51" spans="1:22" x14ac:dyDescent="0.4">
      <c r="A51" s="19" t="s">
        <v>35</v>
      </c>
      <c r="B51" s="19" t="s">
        <v>36</v>
      </c>
      <c r="C51" s="20">
        <v>46157</v>
      </c>
      <c r="D51" s="19">
        <v>7</v>
      </c>
      <c r="E51" s="19">
        <v>147</v>
      </c>
      <c r="F51" s="21" t="s">
        <v>11</v>
      </c>
      <c r="G51" s="19">
        <v>100.18</v>
      </c>
      <c r="H51" s="19" t="s">
        <v>12</v>
      </c>
      <c r="I51" s="19" t="s">
        <v>38</v>
      </c>
      <c r="J51" s="22" t="str">
        <f>VLOOKUP(Raw_Data!A51,Raw_Data!A51:I110,1)</f>
        <v>RID010</v>
      </c>
      <c r="K51" s="23" t="str">
        <f>_xlfn.XLOOKUP(A51, Raw_Data!A:A, Raw_Data!B:B)</f>
        <v>Pankaj Malik</v>
      </c>
      <c r="L51" s="22">
        <f>SUMIF(Raw_Data!A:A,Raw_Data!A51,Raw_Data!D:D)</f>
        <v>23</v>
      </c>
      <c r="M51" s="22" cm="1">
        <f t="array" ref="M51">SUMPRODUCT((Raw_Data!A$2:A$61=A51)*(Raw_Data!D$2:D$61)*(Raw_Data!E$2:E$61))</f>
        <v>2852</v>
      </c>
      <c r="N51" s="22">
        <f>COUNTIFS(Raw_Data!A:A, A51, Raw_Data!F:F, "Y")</f>
        <v>2</v>
      </c>
      <c r="O51" s="4">
        <f>COUNTIFS(Raw_Data!A:A,A51,Raw_Data!H:H,"Present")/COUNTIF(Raw_Data!A:A,A51)</f>
        <v>0.66666666666666663</v>
      </c>
      <c r="P51" s="22">
        <f>SUMIF(Raw_Data!A:A, A51, Raw_Data!G:G)</f>
        <v>161.67000000000002</v>
      </c>
      <c r="Q51" s="22">
        <f t="shared" si="1"/>
        <v>2690.33</v>
      </c>
      <c r="R51" s="34">
        <f>SUMIF(Raw_Data!A:A,Raw_Data!A51,Raw_Data!D:D)/COUNTIFS(Raw_Data!A:A,Raw_Data!A51,Raw_Data!H:H,"Present")</f>
        <v>5.75</v>
      </c>
      <c r="S51" s="35">
        <f>Table2[[#This Row],[Total_Earnings]]/COUNTIFS(Raw_Data!A:A,Raw_Data!A51,Raw_Data!H:H,"Present")</f>
        <v>713</v>
      </c>
      <c r="T51" s="2">
        <f>_xlfn.MAXIFS(Raw_Data!D:D,Raw_Data!A:A,A51)</f>
        <v>7</v>
      </c>
      <c r="U51" s="36">
        <f>COUNTIFS(Raw_Data!A:A,A51,Raw_Data!F:F,"Y")
/
COUNTIF(Raw_Data!A:A,A51)</f>
        <v>0.33333333333333331</v>
      </c>
      <c r="V51" s="2" t="str">
        <f>_xlfn.XLOOKUP(A51,Raw_Data!A:A,Raw_Data!I:I)</f>
        <v>Janakpuri</v>
      </c>
    </row>
    <row r="52" spans="1:22" x14ac:dyDescent="0.4">
      <c r="A52" s="14" t="s">
        <v>9</v>
      </c>
      <c r="B52" s="14" t="s">
        <v>10</v>
      </c>
      <c r="C52" s="15">
        <v>46152</v>
      </c>
      <c r="D52" s="14">
        <v>0</v>
      </c>
      <c r="E52" s="14">
        <v>0</v>
      </c>
      <c r="F52" s="16" t="s">
        <v>16</v>
      </c>
      <c r="G52" s="14">
        <v>0</v>
      </c>
      <c r="H52" s="14" t="s">
        <v>37</v>
      </c>
      <c r="I52" s="14" t="s">
        <v>13</v>
      </c>
      <c r="J52" s="24" t="str">
        <f>VLOOKUP(Raw_Data!A52,Raw_Data!A52:I111,1)</f>
        <v>RID001</v>
      </c>
      <c r="K52" s="25" t="str">
        <f>_xlfn.XLOOKUP(A52, Raw_Data!A:A, Raw_Data!B:B)</f>
        <v>Aman Kumar</v>
      </c>
      <c r="L52" s="24">
        <f>SUMIF(Raw_Data!A:A,Raw_Data!A52,Raw_Data!D:D)</f>
        <v>32</v>
      </c>
      <c r="M52" s="24" cm="1">
        <f t="array" ref="M52">SUMPRODUCT((Raw_Data!A$2:A$61=A52)*(Raw_Data!D$2:D$61)*(Raw_Data!E$2:E$61))</f>
        <v>3860</v>
      </c>
      <c r="N52" s="24">
        <f>COUNTIFS(Raw_Data!A:A, A52, Raw_Data!F:F, "Y")</f>
        <v>3</v>
      </c>
      <c r="O52" s="5">
        <f>COUNTIFS(Raw_Data!A:A,A52,Raw_Data!H:H,"Present")/COUNTIF(Raw_Data!A:A,A52)</f>
        <v>0.66666666666666663</v>
      </c>
      <c r="P52" s="24">
        <f>SUMIF(Raw_Data!A:A, A52, Raw_Data!G:G)</f>
        <v>100.48</v>
      </c>
      <c r="Q52" s="24">
        <f t="shared" si="1"/>
        <v>3759.52</v>
      </c>
      <c r="R52" s="34">
        <f>SUMIF(Raw_Data!A:A,Raw_Data!A52,Raw_Data!D:D)/COUNTIFS(Raw_Data!A:A,Raw_Data!A52,Raw_Data!H:H,"Present")</f>
        <v>8</v>
      </c>
      <c r="S52" s="35">
        <f>Table2[[#This Row],[Total_Earnings]]/COUNTIFS(Raw_Data!A:A,Raw_Data!A52,Raw_Data!H:H,"Present")</f>
        <v>965</v>
      </c>
      <c r="T52" s="2">
        <f>_xlfn.MAXIFS(Raw_Data!D:D,Raw_Data!A:A,A52)</f>
        <v>11</v>
      </c>
      <c r="U52" s="36">
        <f>COUNTIFS(Raw_Data!A:A,A52,Raw_Data!F:F,"Y")
/
COUNTIF(Raw_Data!A:A,A52)</f>
        <v>0.5</v>
      </c>
      <c r="V52" s="2" t="str">
        <f>_xlfn.XLOOKUP(A52,Raw_Data!A:A,Raw_Data!I:I)</f>
        <v>Rohini</v>
      </c>
    </row>
    <row r="53" spans="1:22" x14ac:dyDescent="0.4">
      <c r="A53" s="19" t="s">
        <v>14</v>
      </c>
      <c r="B53" s="19" t="s">
        <v>15</v>
      </c>
      <c r="C53" s="20">
        <v>46147</v>
      </c>
      <c r="D53" s="19">
        <v>4</v>
      </c>
      <c r="E53" s="19">
        <v>150</v>
      </c>
      <c r="F53" s="21" t="s">
        <v>11</v>
      </c>
      <c r="G53" s="19">
        <v>40.85</v>
      </c>
      <c r="H53" s="19" t="s">
        <v>12</v>
      </c>
      <c r="I53" s="19" t="s">
        <v>38</v>
      </c>
      <c r="J53" s="22" t="str">
        <f>VLOOKUP(Raw_Data!A53,Raw_Data!A53:I112,1)</f>
        <v>RID002</v>
      </c>
      <c r="K53" s="23" t="str">
        <f>_xlfn.XLOOKUP(A53, Raw_Data!A:A, Raw_Data!B:B)</f>
        <v>Rohit Sharma</v>
      </c>
      <c r="L53" s="22">
        <f>SUMIF(Raw_Data!A:A,Raw_Data!A53,Raw_Data!D:D)</f>
        <v>49</v>
      </c>
      <c r="M53" s="22" cm="1">
        <f t="array" ref="M53">SUMPRODUCT((Raw_Data!A$2:A$61=A53)*(Raw_Data!D$2:D$61)*(Raw_Data!E$2:E$61))</f>
        <v>5516</v>
      </c>
      <c r="N53" s="22">
        <f>COUNTIFS(Raw_Data!A:A, A53, Raw_Data!F:F, "Y")</f>
        <v>3</v>
      </c>
      <c r="O53" s="4">
        <f>COUNTIFS(Raw_Data!A:A,A53,Raw_Data!H:H,"Present")/COUNTIF(Raw_Data!A:A,A53)</f>
        <v>1</v>
      </c>
      <c r="P53" s="22">
        <f>SUMIF(Raw_Data!A:A, A53, Raw_Data!G:G)</f>
        <v>255.2</v>
      </c>
      <c r="Q53" s="22">
        <f t="shared" si="1"/>
        <v>5260.8</v>
      </c>
      <c r="R53" s="34">
        <f>SUMIF(Raw_Data!A:A,Raw_Data!A53,Raw_Data!D:D)/COUNTIFS(Raw_Data!A:A,Raw_Data!A53,Raw_Data!H:H,"Present")</f>
        <v>8.1666666666666661</v>
      </c>
      <c r="S53" s="35">
        <f>Table2[[#This Row],[Total_Earnings]]/COUNTIFS(Raw_Data!A:A,Raw_Data!A53,Raw_Data!H:H,"Present")</f>
        <v>919.33333333333337</v>
      </c>
      <c r="T53" s="2">
        <f>_xlfn.MAXIFS(Raw_Data!D:D,Raw_Data!A:A,A53)</f>
        <v>11</v>
      </c>
      <c r="U53" s="36">
        <f>COUNTIFS(Raw_Data!A:A,A53,Raw_Data!F:F,"Y")
/
COUNTIF(Raw_Data!A:A,A53)</f>
        <v>0.5</v>
      </c>
      <c r="V53" s="2" t="str">
        <f>_xlfn.XLOOKUP(A53,Raw_Data!A:A,Raw_Data!I:I)</f>
        <v>Rohini</v>
      </c>
    </row>
    <row r="54" spans="1:22" x14ac:dyDescent="0.4">
      <c r="A54" s="14" t="s">
        <v>17</v>
      </c>
      <c r="B54" s="14" t="s">
        <v>18</v>
      </c>
      <c r="C54" s="15">
        <v>46149</v>
      </c>
      <c r="D54" s="14">
        <v>6</v>
      </c>
      <c r="E54" s="14">
        <v>113</v>
      </c>
      <c r="F54" s="16" t="s">
        <v>16</v>
      </c>
      <c r="G54" s="14">
        <v>37.67</v>
      </c>
      <c r="H54" s="14" t="s">
        <v>12</v>
      </c>
      <c r="I54" s="14" t="s">
        <v>13</v>
      </c>
      <c r="J54" s="24" t="str">
        <f>VLOOKUP(Raw_Data!A54,Raw_Data!A54:I113,1)</f>
        <v>RID003</v>
      </c>
      <c r="K54" s="25" t="str">
        <f>_xlfn.XLOOKUP(A54, Raw_Data!A:A, Raw_Data!B:B)</f>
        <v>Vikas Yadav</v>
      </c>
      <c r="L54" s="24">
        <f>SUMIF(Raw_Data!A:A,Raw_Data!A54,Raw_Data!D:D)</f>
        <v>52</v>
      </c>
      <c r="M54" s="24" cm="1">
        <f t="array" ref="M54">SUMPRODUCT((Raw_Data!A$2:A$61=A54)*(Raw_Data!D$2:D$61)*(Raw_Data!E$2:E$61))</f>
        <v>5609</v>
      </c>
      <c r="N54" s="24">
        <f>COUNTIFS(Raw_Data!A:A, A54, Raw_Data!F:F, "Y")</f>
        <v>4</v>
      </c>
      <c r="O54" s="5">
        <f>COUNTIFS(Raw_Data!A:A,A54,Raw_Data!H:H,"Present")/COUNTIF(Raw_Data!A:A,A54)</f>
        <v>0.83333333333333337</v>
      </c>
      <c r="P54" s="24">
        <f>SUMIF(Raw_Data!A:A, A54, Raw_Data!G:G)</f>
        <v>462.97</v>
      </c>
      <c r="Q54" s="24">
        <f t="shared" si="1"/>
        <v>5146.03</v>
      </c>
      <c r="R54" s="34">
        <f>SUMIF(Raw_Data!A:A,Raw_Data!A54,Raw_Data!D:D)/COUNTIFS(Raw_Data!A:A,Raw_Data!A54,Raw_Data!H:H,"Present")</f>
        <v>10.4</v>
      </c>
      <c r="S54" s="35">
        <f>Table2[[#This Row],[Total_Earnings]]/COUNTIFS(Raw_Data!A:A,Raw_Data!A54,Raw_Data!H:H,"Present")</f>
        <v>1121.8</v>
      </c>
      <c r="T54" s="2">
        <f>_xlfn.MAXIFS(Raw_Data!D:D,Raw_Data!A:A,A54)</f>
        <v>12</v>
      </c>
      <c r="U54" s="36">
        <f>COUNTIFS(Raw_Data!A:A,A54,Raw_Data!F:F,"Y")
/
COUNTIF(Raw_Data!A:A,A54)</f>
        <v>0.66666666666666663</v>
      </c>
      <c r="V54" s="2" t="str">
        <f>_xlfn.XLOOKUP(A54,Raw_Data!A:A,Raw_Data!I:I)</f>
        <v>Punjabi Bagh</v>
      </c>
    </row>
    <row r="55" spans="1:22" x14ac:dyDescent="0.4">
      <c r="A55" s="19" t="s">
        <v>20</v>
      </c>
      <c r="B55" s="19" t="s">
        <v>21</v>
      </c>
      <c r="C55" s="20">
        <v>46145</v>
      </c>
      <c r="D55" s="19">
        <v>7</v>
      </c>
      <c r="E55" s="19">
        <v>85</v>
      </c>
      <c r="F55" s="21" t="s">
        <v>11</v>
      </c>
      <c r="G55" s="19">
        <v>50.03</v>
      </c>
      <c r="H55" s="19" t="s">
        <v>12</v>
      </c>
      <c r="I55" s="19" t="s">
        <v>22</v>
      </c>
      <c r="J55" s="22" t="str">
        <f>VLOOKUP(Raw_Data!A55,Raw_Data!A55:I114,1)</f>
        <v>RID004</v>
      </c>
      <c r="K55" s="23" t="str">
        <f>_xlfn.XLOOKUP(A55, Raw_Data!A:A, Raw_Data!B:B)</f>
        <v>Deepak Singh</v>
      </c>
      <c r="L55" s="22">
        <f>SUMIF(Raw_Data!A:A,Raw_Data!A55,Raw_Data!D:D)</f>
        <v>46</v>
      </c>
      <c r="M55" s="22" cm="1">
        <f t="array" ref="M55">SUMPRODUCT((Raw_Data!A$2:A$61=A55)*(Raw_Data!D$2:D$61)*(Raw_Data!E$2:E$61))</f>
        <v>4622</v>
      </c>
      <c r="N55" s="22">
        <f>COUNTIFS(Raw_Data!A:A, A55, Raw_Data!F:F, "Y")</f>
        <v>4</v>
      </c>
      <c r="O55" s="4">
        <f>COUNTIFS(Raw_Data!A:A,A55,Raw_Data!H:H,"Present")/COUNTIF(Raw_Data!A:A,A55)</f>
        <v>0.83333333333333337</v>
      </c>
      <c r="P55" s="22">
        <f>SUMIF(Raw_Data!A:A, A55, Raw_Data!G:G)</f>
        <v>409.36</v>
      </c>
      <c r="Q55" s="22">
        <f t="shared" si="1"/>
        <v>4212.6400000000003</v>
      </c>
      <c r="R55" s="34">
        <f>SUMIF(Raw_Data!A:A,Raw_Data!A55,Raw_Data!D:D)/COUNTIFS(Raw_Data!A:A,Raw_Data!A55,Raw_Data!H:H,"Present")</f>
        <v>9.1999999999999993</v>
      </c>
      <c r="S55" s="35">
        <f>Table2[[#This Row],[Total_Earnings]]/COUNTIFS(Raw_Data!A:A,Raw_Data!A55,Raw_Data!H:H,"Present")</f>
        <v>924.4</v>
      </c>
      <c r="T55" s="2">
        <f>_xlfn.MAXIFS(Raw_Data!D:D,Raw_Data!A:A,A55)</f>
        <v>12</v>
      </c>
      <c r="U55" s="36">
        <f>COUNTIFS(Raw_Data!A:A,A55,Raw_Data!F:F,"Y")
/
COUNTIF(Raw_Data!A:A,A55)</f>
        <v>0.66666666666666663</v>
      </c>
      <c r="V55" s="2" t="str">
        <f>_xlfn.XLOOKUP(A55,Raw_Data!A:A,Raw_Data!I:I)</f>
        <v>Dwarka</v>
      </c>
    </row>
    <row r="56" spans="1:22" x14ac:dyDescent="0.4">
      <c r="A56" s="14" t="s">
        <v>23</v>
      </c>
      <c r="B56" s="14" t="s">
        <v>24</v>
      </c>
      <c r="C56" s="15">
        <v>46163</v>
      </c>
      <c r="D56" s="14">
        <v>0</v>
      </c>
      <c r="E56" s="14">
        <v>0</v>
      </c>
      <c r="F56" s="16" t="s">
        <v>16</v>
      </c>
      <c r="G56" s="14">
        <v>0</v>
      </c>
      <c r="H56" s="14" t="s">
        <v>37</v>
      </c>
      <c r="I56" s="14" t="s">
        <v>22</v>
      </c>
      <c r="J56" s="24" t="str">
        <f>VLOOKUP(Raw_Data!A56,Raw_Data!A56:I115,1)</f>
        <v>RID005</v>
      </c>
      <c r="K56" s="25" t="str">
        <f>_xlfn.XLOOKUP(A56, Raw_Data!A:A, Raw_Data!B:B)</f>
        <v>Saurabh Gupta</v>
      </c>
      <c r="L56" s="24">
        <f>SUMIF(Raw_Data!A:A,Raw_Data!A56,Raw_Data!D:D)</f>
        <v>30</v>
      </c>
      <c r="M56" s="24" cm="1">
        <f t="array" ref="M56">SUMPRODUCT((Raw_Data!A$2:A$61=A56)*(Raw_Data!D$2:D$61)*(Raw_Data!E$2:E$61))</f>
        <v>2851</v>
      </c>
      <c r="N56" s="24">
        <f>COUNTIFS(Raw_Data!A:A, A56, Raw_Data!F:F, "Y")</f>
        <v>3</v>
      </c>
      <c r="O56" s="5">
        <f>COUNTIFS(Raw_Data!A:A,A56,Raw_Data!H:H,"Present")/COUNTIF(Raw_Data!A:A,A56)</f>
        <v>0.83333333333333337</v>
      </c>
      <c r="P56" s="24">
        <f>SUMIF(Raw_Data!A:A, A56, Raw_Data!G:G)</f>
        <v>589.1</v>
      </c>
      <c r="Q56" s="24">
        <f t="shared" si="1"/>
        <v>2261.9</v>
      </c>
      <c r="R56" s="34">
        <f>SUMIF(Raw_Data!A:A,Raw_Data!A56,Raw_Data!D:D)/COUNTIFS(Raw_Data!A:A,Raw_Data!A56,Raw_Data!H:H,"Present")</f>
        <v>6</v>
      </c>
      <c r="S56" s="35">
        <f>Table2[[#This Row],[Total_Earnings]]/COUNTIFS(Raw_Data!A:A,Raw_Data!A56,Raw_Data!H:H,"Present")</f>
        <v>570.20000000000005</v>
      </c>
      <c r="T56" s="2">
        <f>_xlfn.MAXIFS(Raw_Data!D:D,Raw_Data!A:A,A56)</f>
        <v>10</v>
      </c>
      <c r="U56" s="36">
        <f>COUNTIFS(Raw_Data!A:A,A56,Raw_Data!F:F,"Y")
/
COUNTIF(Raw_Data!A:A,A56)</f>
        <v>0.5</v>
      </c>
      <c r="V56" s="2" t="str">
        <f>_xlfn.XLOOKUP(A56,Raw_Data!A:A,Raw_Data!I:I)</f>
        <v>Janakpuri</v>
      </c>
    </row>
    <row r="57" spans="1:22" x14ac:dyDescent="0.4">
      <c r="A57" s="19" t="s">
        <v>26</v>
      </c>
      <c r="B57" s="19" t="s">
        <v>27</v>
      </c>
      <c r="C57" s="20">
        <v>46166</v>
      </c>
      <c r="D57" s="19">
        <v>9</v>
      </c>
      <c r="E57" s="19">
        <v>81</v>
      </c>
      <c r="F57" s="21" t="s">
        <v>11</v>
      </c>
      <c r="G57" s="19">
        <v>11.29</v>
      </c>
      <c r="H57" s="19" t="s">
        <v>12</v>
      </c>
      <c r="I57" s="19" t="s">
        <v>19</v>
      </c>
      <c r="J57" s="22" t="str">
        <f>VLOOKUP(Raw_Data!A57,Raw_Data!A57:I116,1)</f>
        <v>RID006</v>
      </c>
      <c r="K57" s="23" t="str">
        <f>_xlfn.XLOOKUP(A57, Raw_Data!A:A, Raw_Data!B:B)</f>
        <v>Ankit Verma</v>
      </c>
      <c r="L57" s="22">
        <f>SUMIF(Raw_Data!A:A,Raw_Data!A57,Raw_Data!D:D)</f>
        <v>50</v>
      </c>
      <c r="M57" s="22" cm="1">
        <f t="array" ref="M57">SUMPRODUCT((Raw_Data!A$2:A$61=A57)*(Raw_Data!D$2:D$61)*(Raw_Data!E$2:E$61))</f>
        <v>5237</v>
      </c>
      <c r="N57" s="22">
        <f>COUNTIFS(Raw_Data!A:A, A57, Raw_Data!F:F, "Y")</f>
        <v>4</v>
      </c>
      <c r="O57" s="4">
        <f>COUNTIFS(Raw_Data!A:A,A57,Raw_Data!H:H,"Present")/COUNTIF(Raw_Data!A:A,A57)</f>
        <v>1</v>
      </c>
      <c r="P57" s="22">
        <f>SUMIF(Raw_Data!A:A, A57, Raw_Data!G:G)</f>
        <v>422.47</v>
      </c>
      <c r="Q57" s="22">
        <f t="shared" si="1"/>
        <v>4814.53</v>
      </c>
      <c r="R57" s="34">
        <f>SUMIF(Raw_Data!A:A,Raw_Data!A57,Raw_Data!D:D)/COUNTIFS(Raw_Data!A:A,Raw_Data!A57,Raw_Data!H:H,"Present")</f>
        <v>8.3333333333333339</v>
      </c>
      <c r="S57" s="35">
        <f>Table2[[#This Row],[Total_Earnings]]/COUNTIFS(Raw_Data!A:A,Raw_Data!A57,Raw_Data!H:H,"Present")</f>
        <v>872.83333333333337</v>
      </c>
      <c r="T57" s="2">
        <f>_xlfn.MAXIFS(Raw_Data!D:D,Raw_Data!A:A,A57)</f>
        <v>12</v>
      </c>
      <c r="U57" s="36">
        <f>COUNTIFS(Raw_Data!A:A,A57,Raw_Data!F:F,"Y")
/
COUNTIF(Raw_Data!A:A,A57)</f>
        <v>0.66666666666666663</v>
      </c>
      <c r="V57" s="2" t="str">
        <f>_xlfn.XLOOKUP(A57,Raw_Data!A:A,Raw_Data!I:I)</f>
        <v>Rohini</v>
      </c>
    </row>
    <row r="58" spans="1:22" x14ac:dyDescent="0.4">
      <c r="A58" s="14" t="s">
        <v>28</v>
      </c>
      <c r="B58" s="14" t="s">
        <v>29</v>
      </c>
      <c r="C58" s="15">
        <v>46147</v>
      </c>
      <c r="D58" s="14">
        <v>8</v>
      </c>
      <c r="E58" s="14">
        <v>150</v>
      </c>
      <c r="F58" s="16" t="s">
        <v>11</v>
      </c>
      <c r="G58" s="14">
        <v>64.47</v>
      </c>
      <c r="H58" s="14" t="s">
        <v>12</v>
      </c>
      <c r="I58" s="14" t="s">
        <v>13</v>
      </c>
      <c r="J58" s="24" t="str">
        <f>VLOOKUP(Raw_Data!A58,Raw_Data!A58:I117,1)</f>
        <v>RID007</v>
      </c>
      <c r="K58" s="25" t="str">
        <f>_xlfn.XLOOKUP(A58, Raw_Data!A:A, Raw_Data!B:B)</f>
        <v>Mohit Kumar</v>
      </c>
      <c r="L58" s="24">
        <f>SUMIF(Raw_Data!A:A,Raw_Data!A58,Raw_Data!D:D)</f>
        <v>37</v>
      </c>
      <c r="M58" s="24" cm="1">
        <f t="array" ref="M58">SUMPRODUCT((Raw_Data!A$2:A$61=A58)*(Raw_Data!D$2:D$61)*(Raw_Data!E$2:E$61))</f>
        <v>4881</v>
      </c>
      <c r="N58" s="24">
        <f>COUNTIFS(Raw_Data!A:A, A58, Raw_Data!F:F, "Y")</f>
        <v>3</v>
      </c>
      <c r="O58" s="5">
        <f>COUNTIFS(Raw_Data!A:A,A58,Raw_Data!H:H,"Present")/COUNTIF(Raw_Data!A:A,A58)</f>
        <v>1</v>
      </c>
      <c r="P58" s="24">
        <f>SUMIF(Raw_Data!A:A, A58, Raw_Data!G:G)</f>
        <v>469.15</v>
      </c>
      <c r="Q58" s="24">
        <f t="shared" si="1"/>
        <v>4411.8500000000004</v>
      </c>
      <c r="R58" s="34">
        <f>SUMIF(Raw_Data!A:A,Raw_Data!A58,Raw_Data!D:D)/COUNTIFS(Raw_Data!A:A,Raw_Data!A58,Raw_Data!H:H,"Present")</f>
        <v>6.166666666666667</v>
      </c>
      <c r="S58" s="35">
        <f>Table2[[#This Row],[Total_Earnings]]/COUNTIFS(Raw_Data!A:A,Raw_Data!A58,Raw_Data!H:H,"Present")</f>
        <v>813.5</v>
      </c>
      <c r="T58" s="2">
        <f>_xlfn.MAXIFS(Raw_Data!D:D,Raw_Data!A:A,A58)</f>
        <v>9</v>
      </c>
      <c r="U58" s="36">
        <f>COUNTIFS(Raw_Data!A:A,A58,Raw_Data!F:F,"Y")
/
COUNTIF(Raw_Data!A:A,A58)</f>
        <v>0.5</v>
      </c>
      <c r="V58" s="2" t="str">
        <f>_xlfn.XLOOKUP(A58,Raw_Data!A:A,Raw_Data!I:I)</f>
        <v>Punjabi Bagh</v>
      </c>
    </row>
    <row r="59" spans="1:22" x14ac:dyDescent="0.4">
      <c r="A59" s="19" t="s">
        <v>30</v>
      </c>
      <c r="B59" s="19" t="s">
        <v>31</v>
      </c>
      <c r="C59" s="20">
        <v>46152</v>
      </c>
      <c r="D59" s="19">
        <v>3</v>
      </c>
      <c r="E59" s="19">
        <v>125</v>
      </c>
      <c r="F59" s="21" t="s">
        <v>11</v>
      </c>
      <c r="G59" s="19">
        <v>102.31</v>
      </c>
      <c r="H59" s="19" t="s">
        <v>12</v>
      </c>
      <c r="I59" s="19" t="s">
        <v>19</v>
      </c>
      <c r="J59" s="22" t="str">
        <f>VLOOKUP(Raw_Data!A59,Raw_Data!A59:I118,1)</f>
        <v>RID008</v>
      </c>
      <c r="K59" s="23" t="str">
        <f>_xlfn.XLOOKUP(A59, Raw_Data!A:A, Raw_Data!B:B)</f>
        <v>Rahul Jain</v>
      </c>
      <c r="L59" s="22">
        <f>SUMIF(Raw_Data!A:A,Raw_Data!A59,Raw_Data!D:D)</f>
        <v>42</v>
      </c>
      <c r="M59" s="22" cm="1">
        <f t="array" ref="M59">SUMPRODUCT((Raw_Data!A$2:A$61=A59)*(Raw_Data!D$2:D$61)*(Raw_Data!E$2:E$61))</f>
        <v>4641</v>
      </c>
      <c r="N59" s="22">
        <f>COUNTIFS(Raw_Data!A:A, A59, Raw_Data!F:F, "Y")</f>
        <v>6</v>
      </c>
      <c r="O59" s="4">
        <f>COUNTIFS(Raw_Data!A:A,A59,Raw_Data!H:H,"Present")/COUNTIF(Raw_Data!A:A,A59)</f>
        <v>1</v>
      </c>
      <c r="P59" s="22">
        <f>SUMIF(Raw_Data!A:A, A59, Raw_Data!G:G)</f>
        <v>484.25000000000006</v>
      </c>
      <c r="Q59" s="22">
        <f t="shared" si="1"/>
        <v>4156.75</v>
      </c>
      <c r="R59" s="34">
        <f>SUMIF(Raw_Data!A:A,Raw_Data!A59,Raw_Data!D:D)/COUNTIFS(Raw_Data!A:A,Raw_Data!A59,Raw_Data!H:H,"Present")</f>
        <v>7</v>
      </c>
      <c r="S59" s="35">
        <f>Table2[[#This Row],[Total_Earnings]]/COUNTIFS(Raw_Data!A:A,Raw_Data!A59,Raw_Data!H:H,"Present")</f>
        <v>773.5</v>
      </c>
      <c r="T59" s="2">
        <f>_xlfn.MAXIFS(Raw_Data!D:D,Raw_Data!A:A,A59)</f>
        <v>12</v>
      </c>
      <c r="U59" s="36">
        <f>COUNTIFS(Raw_Data!A:A,A59,Raw_Data!F:F,"Y")
/
COUNTIF(Raw_Data!A:A,A59)</f>
        <v>1</v>
      </c>
      <c r="V59" s="2" t="str">
        <f>_xlfn.XLOOKUP(A59,Raw_Data!A:A,Raw_Data!I:I)</f>
        <v>Dwarka</v>
      </c>
    </row>
    <row r="60" spans="1:22" x14ac:dyDescent="0.4">
      <c r="A60" s="14" t="s">
        <v>32</v>
      </c>
      <c r="B60" s="14" t="s">
        <v>33</v>
      </c>
      <c r="C60" s="15">
        <v>46146</v>
      </c>
      <c r="D60" s="14">
        <v>11</v>
      </c>
      <c r="E60" s="14">
        <v>132</v>
      </c>
      <c r="F60" s="16" t="s">
        <v>11</v>
      </c>
      <c r="G60" s="14">
        <v>138.86000000000001</v>
      </c>
      <c r="H60" s="14" t="s">
        <v>12</v>
      </c>
      <c r="I60" s="14" t="s">
        <v>22</v>
      </c>
      <c r="J60" s="24" t="str">
        <f>VLOOKUP(Raw_Data!A60,Raw_Data!A60:I119,1)</f>
        <v>RID009</v>
      </c>
      <c r="K60" s="25" t="str">
        <f>_xlfn.XLOOKUP(A60, Raw_Data!A:A, Raw_Data!B:B)</f>
        <v>Nitin Chaudhary</v>
      </c>
      <c r="L60" s="24">
        <f>SUMIF(Raw_Data!A:A,Raw_Data!A60,Raw_Data!D:D)</f>
        <v>42</v>
      </c>
      <c r="M60" s="24" cm="1">
        <f t="array" ref="M60">SUMPRODUCT((Raw_Data!A$2:A$61=A60)*(Raw_Data!D$2:D$61)*(Raw_Data!E$2:E$61))</f>
        <v>4964</v>
      </c>
      <c r="N60" s="24">
        <f>COUNTIFS(Raw_Data!A:A, A60, Raw_Data!F:F, "Y")</f>
        <v>3</v>
      </c>
      <c r="O60" s="5">
        <f>COUNTIFS(Raw_Data!A:A,A60,Raw_Data!H:H,"Present")/COUNTIF(Raw_Data!A:A,A60)</f>
        <v>1</v>
      </c>
      <c r="P60" s="24">
        <f>SUMIF(Raw_Data!A:A, A60, Raw_Data!G:G)</f>
        <v>396.72</v>
      </c>
      <c r="Q60" s="24">
        <f t="shared" si="1"/>
        <v>4567.28</v>
      </c>
      <c r="R60" s="34">
        <f>SUMIF(Raw_Data!A:A,Raw_Data!A60,Raw_Data!D:D)/COUNTIFS(Raw_Data!A:A,Raw_Data!A60,Raw_Data!H:H,"Present")</f>
        <v>7</v>
      </c>
      <c r="S60" s="35">
        <f>Table2[[#This Row],[Total_Earnings]]/COUNTIFS(Raw_Data!A:A,Raw_Data!A60,Raw_Data!H:H,"Present")</f>
        <v>827.33333333333337</v>
      </c>
      <c r="T60" s="2">
        <f>_xlfn.MAXIFS(Raw_Data!D:D,Raw_Data!A:A,A60)</f>
        <v>11</v>
      </c>
      <c r="U60" s="36">
        <f>COUNTIFS(Raw_Data!A:A,A60,Raw_Data!F:F,"Y")
/
COUNTIF(Raw_Data!A:A,A60)</f>
        <v>0.5</v>
      </c>
      <c r="V60" s="2" t="str">
        <f>_xlfn.XLOOKUP(A60,Raw_Data!A:A,Raw_Data!I:I)</f>
        <v>Pitampura</v>
      </c>
    </row>
    <row r="61" spans="1:22" x14ac:dyDescent="0.4">
      <c r="A61" s="26" t="s">
        <v>35</v>
      </c>
      <c r="B61" s="26" t="s">
        <v>36</v>
      </c>
      <c r="C61" s="27">
        <v>46170</v>
      </c>
      <c r="D61" s="26">
        <v>5</v>
      </c>
      <c r="E61" s="26">
        <v>132</v>
      </c>
      <c r="F61" s="28" t="s">
        <v>11</v>
      </c>
      <c r="G61" s="26">
        <v>26.9</v>
      </c>
      <c r="H61" s="26" t="s">
        <v>12</v>
      </c>
      <c r="I61" s="26" t="s">
        <v>25</v>
      </c>
      <c r="J61" s="29" t="str">
        <f>VLOOKUP(Raw_Data!A61,Raw_Data!A61:I120,1)</f>
        <v>RID010</v>
      </c>
      <c r="K61" s="30" t="str">
        <f>_xlfn.XLOOKUP(A61, Raw_Data!A:A, Raw_Data!B:B)</f>
        <v>Pankaj Malik</v>
      </c>
      <c r="L61" s="32">
        <f>SUMIF(Raw_Data!A:A,Raw_Data!A61,Raw_Data!D:D)</f>
        <v>23</v>
      </c>
      <c r="M61" s="32" cm="1">
        <f t="array" ref="M61">SUMPRODUCT((Raw_Data!A$2:A$61=A61)*(Raw_Data!D$2:D$61)*(Raw_Data!E$2:E$61))</f>
        <v>2852</v>
      </c>
      <c r="N61" s="32">
        <f>COUNTIFS(Raw_Data!A:A, A61, Raw_Data!F:F, "Y")</f>
        <v>2</v>
      </c>
      <c r="O61" s="33">
        <f>COUNTIFS(Raw_Data!A:A,A61,Raw_Data!H:H,"Present")/COUNTIF(Raw_Data!A:A,A61)</f>
        <v>0.66666666666666663</v>
      </c>
      <c r="P61" s="32">
        <f>SUMIF(Raw_Data!A:A, A61, Raw_Data!G:G)</f>
        <v>161.67000000000002</v>
      </c>
      <c r="Q61" s="32">
        <f t="shared" si="1"/>
        <v>2690.33</v>
      </c>
      <c r="R61" s="34">
        <f>SUMIF(Raw_Data!A:A,Raw_Data!A61,Raw_Data!D:D)/COUNTIFS(Raw_Data!A:A,Raw_Data!A61,Raw_Data!H:H,"Present")</f>
        <v>5.75</v>
      </c>
      <c r="S61" s="35">
        <f>Table2[[#This Row],[Total_Earnings]]/COUNTIFS(Raw_Data!A:A,Raw_Data!A61,Raw_Data!H:H,"Present")</f>
        <v>713</v>
      </c>
      <c r="T61" s="2">
        <f>_xlfn.MAXIFS(Raw_Data!D:D,Raw_Data!A:A,A61)</f>
        <v>7</v>
      </c>
      <c r="U61" s="36">
        <f>COUNTIFS(Raw_Data!A:A,A61,Raw_Data!F:F,"Y")
/
COUNTIF(Raw_Data!A:A,A61)</f>
        <v>0.33333333333333331</v>
      </c>
      <c r="V61" s="2" t="str">
        <f>_xlfn.XLOOKUP(A61,Raw_Data!A:A,Raw_Data!I:I)</f>
        <v>Janakpuri</v>
      </c>
    </row>
  </sheetData>
  <sheetProtection algorithmName="SHA-512" hashValue="5HRmNVYmXzwfkLyRBm+6GDvlamFQz4blaqalczbVz4Sv2VF7DpgGUzkdsg3OAsB8gabhuQ9iPiZSGIoyT6HA6Q==" saltValue="uU9GG921AEag7h/kuQK7OQ==" spinCount="100000" sheet="1" objects="1" scenarios="1"/>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E4D30-1AA8-46E5-A4BB-931A1932C17A}">
  <sheetPr codeName="Sheet3"/>
  <dimension ref="D4:S42"/>
  <sheetViews>
    <sheetView showGridLines="0" zoomScale="90" zoomScaleNormal="90" workbookViewId="0">
      <selection activeCell="N7" sqref="N7"/>
    </sheetView>
  </sheetViews>
  <sheetFormatPr defaultRowHeight="14.6" x14ac:dyDescent="0.4"/>
  <cols>
    <col min="3" max="3" width="9.23046875" customWidth="1"/>
    <col min="5" max="5" width="25.765625" customWidth="1"/>
    <col min="6" max="6" width="6.15234375" customWidth="1"/>
    <col min="7" max="7" width="25.84375" customWidth="1"/>
    <col min="8" max="8" width="6.15234375" customWidth="1"/>
    <col min="9" max="9" width="25.765625" customWidth="1"/>
    <col min="10" max="10" width="6.15234375" bestFit="1" customWidth="1"/>
    <col min="11" max="11" width="25.84375" customWidth="1"/>
    <col min="12" max="12" width="9.23046875" customWidth="1"/>
    <col min="13" max="13" width="14.921875" bestFit="1" customWidth="1"/>
    <col min="14" max="14" width="14.23046875" bestFit="1" customWidth="1"/>
    <col min="15" max="15" width="14.921875" customWidth="1"/>
    <col min="16" max="16" width="14.23046875" hidden="1" customWidth="1"/>
    <col min="17" max="17" width="14.921875" hidden="1" customWidth="1"/>
    <col min="18" max="18" width="10.53515625" hidden="1" customWidth="1"/>
    <col min="19" max="19" width="22.3046875" hidden="1" customWidth="1"/>
    <col min="20" max="20" width="21.3828125" bestFit="1" customWidth="1"/>
    <col min="21" max="21" width="22.3046875" bestFit="1" customWidth="1"/>
    <col min="22" max="22" width="21.3828125" bestFit="1" customWidth="1"/>
    <col min="23" max="23" width="22.3046875" bestFit="1" customWidth="1"/>
    <col min="24" max="24" width="21.3828125" bestFit="1" customWidth="1"/>
    <col min="25" max="25" width="22.3046875" bestFit="1" customWidth="1"/>
    <col min="26" max="26" width="21.3828125" bestFit="1" customWidth="1"/>
    <col min="27" max="27" width="22.3046875" bestFit="1" customWidth="1"/>
    <col min="28" max="28" width="26.15234375" bestFit="1" customWidth="1"/>
    <col min="29" max="29" width="27.07421875" bestFit="1" customWidth="1"/>
  </cols>
  <sheetData>
    <row r="4" spans="4:14" ht="69.55" customHeight="1" x14ac:dyDescent="0.4">
      <c r="D4" s="94" t="s">
        <v>66</v>
      </c>
      <c r="E4" s="95"/>
      <c r="F4" s="95"/>
      <c r="G4" s="95"/>
      <c r="H4" s="95"/>
      <c r="I4" s="95"/>
      <c r="J4" s="95"/>
      <c r="K4" s="95"/>
      <c r="L4" s="96"/>
      <c r="M4" s="37"/>
      <c r="N4" s="37"/>
    </row>
    <row r="5" spans="4:14" ht="17.600000000000001" customHeight="1" x14ac:dyDescent="0.4">
      <c r="D5" s="58"/>
      <c r="L5" s="40"/>
    </row>
    <row r="6" spans="4:14" ht="26.15" x14ac:dyDescent="0.7">
      <c r="D6" s="59"/>
      <c r="E6" s="72" t="s">
        <v>52</v>
      </c>
      <c r="F6" s="53"/>
      <c r="G6" s="72" t="s">
        <v>53</v>
      </c>
      <c r="H6" s="53"/>
      <c r="I6" s="72" t="s">
        <v>54</v>
      </c>
      <c r="J6" s="2"/>
      <c r="K6" s="72" t="s">
        <v>63</v>
      </c>
      <c r="L6" s="60"/>
    </row>
    <row r="7" spans="4:14" ht="26.15" x14ac:dyDescent="0.7">
      <c r="D7" s="59"/>
      <c r="E7" s="73">
        <v>247689.78</v>
      </c>
      <c r="F7" s="53"/>
      <c r="G7" s="75">
        <v>40.299999999999997</v>
      </c>
      <c r="H7" s="53"/>
      <c r="I7" s="74">
        <v>210</v>
      </c>
      <c r="J7" s="54"/>
      <c r="K7" s="71">
        <v>0.8833333333333333</v>
      </c>
      <c r="L7" s="60"/>
    </row>
    <row r="8" spans="4:14" ht="18.45" x14ac:dyDescent="0.4">
      <c r="D8" s="97"/>
      <c r="E8" s="98"/>
      <c r="F8" s="56"/>
      <c r="G8" s="56"/>
      <c r="H8" s="56"/>
      <c r="I8" s="56"/>
      <c r="J8" s="56"/>
      <c r="K8" s="56"/>
      <c r="L8" s="62"/>
    </row>
    <row r="9" spans="4:14" ht="23.15" customHeight="1" x14ac:dyDescent="0.4">
      <c r="D9" s="61"/>
      <c r="E9" s="55"/>
      <c r="F9" s="56"/>
      <c r="G9" s="56"/>
      <c r="H9" s="56"/>
      <c r="L9" s="62"/>
    </row>
    <row r="10" spans="4:14" x14ac:dyDescent="0.4">
      <c r="D10" s="63"/>
      <c r="E10" s="2"/>
      <c r="F10" s="2"/>
      <c r="G10" s="2"/>
      <c r="H10" s="2"/>
      <c r="L10" s="40"/>
    </row>
    <row r="11" spans="4:14" ht="19.3" customHeight="1" x14ac:dyDescent="0.4">
      <c r="D11" s="58"/>
      <c r="L11" s="40"/>
    </row>
    <row r="12" spans="4:14" ht="19.3" customHeight="1" x14ac:dyDescent="0.4">
      <c r="D12" s="58"/>
      <c r="L12" s="40"/>
    </row>
    <row r="13" spans="4:14" ht="19.3" customHeight="1" x14ac:dyDescent="0.4">
      <c r="D13" s="58"/>
      <c r="L13" s="40"/>
    </row>
    <row r="14" spans="4:14" ht="19.3" customHeight="1" x14ac:dyDescent="0.4">
      <c r="D14" s="58"/>
      <c r="L14" s="40"/>
    </row>
    <row r="15" spans="4:14" ht="19.3" customHeight="1" x14ac:dyDescent="0.4">
      <c r="D15" s="58"/>
      <c r="L15" s="40"/>
    </row>
    <row r="16" spans="4:14" x14ac:dyDescent="0.4">
      <c r="D16" s="58"/>
      <c r="L16" s="40"/>
    </row>
    <row r="17" spans="4:19" ht="19.3" customHeight="1" x14ac:dyDescent="0.4">
      <c r="D17" s="58"/>
      <c r="L17" s="40"/>
    </row>
    <row r="18" spans="4:19" ht="19.3" customHeight="1" x14ac:dyDescent="0.4">
      <c r="D18" s="58"/>
      <c r="L18" s="40"/>
    </row>
    <row r="19" spans="4:19" x14ac:dyDescent="0.4">
      <c r="D19" s="58"/>
      <c r="L19" s="64"/>
    </row>
    <row r="20" spans="4:19" x14ac:dyDescent="0.4">
      <c r="D20" s="58"/>
      <c r="L20" s="40"/>
    </row>
    <row r="21" spans="4:19" x14ac:dyDescent="0.4">
      <c r="D21" s="58"/>
      <c r="L21" s="40"/>
    </row>
    <row r="22" spans="4:19" ht="15" thickBot="1" x14ac:dyDescent="0.45">
      <c r="D22" s="58"/>
      <c r="L22" s="40"/>
    </row>
    <row r="23" spans="4:19" ht="21.55" customHeight="1" thickBot="1" x14ac:dyDescent="0.45">
      <c r="D23" s="58"/>
      <c r="I23" s="91" t="s">
        <v>65</v>
      </c>
      <c r="J23" s="92"/>
      <c r="K23" s="93"/>
      <c r="L23" s="40"/>
    </row>
    <row r="24" spans="4:19" ht="18.899999999999999" thickBot="1" x14ac:dyDescent="0.45">
      <c r="D24" s="58"/>
      <c r="I24" s="79" t="s">
        <v>55</v>
      </c>
      <c r="J24" s="76" t="s">
        <v>62</v>
      </c>
      <c r="K24" s="80" t="s">
        <v>64</v>
      </c>
      <c r="L24" s="40"/>
    </row>
    <row r="25" spans="4:19" ht="16.850000000000001" customHeight="1" x14ac:dyDescent="0.4">
      <c r="D25" s="58"/>
      <c r="I25" s="81" t="s">
        <v>56</v>
      </c>
      <c r="J25" s="77">
        <v>37</v>
      </c>
      <c r="K25" s="82">
        <v>348</v>
      </c>
      <c r="L25" s="40"/>
    </row>
    <row r="26" spans="4:19" ht="16.850000000000001" customHeight="1" x14ac:dyDescent="0.4">
      <c r="D26" s="58"/>
      <c r="I26" s="83" t="s">
        <v>57</v>
      </c>
      <c r="J26" s="78">
        <v>141</v>
      </c>
      <c r="K26" s="84">
        <v>2253</v>
      </c>
      <c r="L26" s="40"/>
    </row>
    <row r="27" spans="4:19" ht="16.850000000000001" customHeight="1" x14ac:dyDescent="0.4">
      <c r="D27" s="58"/>
      <c r="I27" s="83" t="s">
        <v>58</v>
      </c>
      <c r="J27" s="78">
        <v>57</v>
      </c>
      <c r="K27" s="84">
        <v>986</v>
      </c>
      <c r="L27" s="40"/>
    </row>
    <row r="28" spans="4:19" ht="16.850000000000001" customHeight="1" x14ac:dyDescent="0.4">
      <c r="D28" s="58"/>
      <c r="I28" s="83" t="s">
        <v>59</v>
      </c>
      <c r="J28" s="78">
        <v>92</v>
      </c>
      <c r="K28" s="84">
        <v>1302</v>
      </c>
      <c r="L28" s="40"/>
    </row>
    <row r="29" spans="4:19" ht="16.850000000000001" customHeight="1" x14ac:dyDescent="0.4">
      <c r="D29" s="58"/>
      <c r="I29" s="83" t="s">
        <v>60</v>
      </c>
      <c r="J29" s="78">
        <v>76</v>
      </c>
      <c r="K29" s="84">
        <v>1073</v>
      </c>
      <c r="L29" s="40"/>
    </row>
    <row r="30" spans="4:19" ht="15" thickBot="1" x14ac:dyDescent="0.45">
      <c r="D30" s="58"/>
      <c r="I30" s="87" t="s">
        <v>61</v>
      </c>
      <c r="J30" s="85">
        <v>403</v>
      </c>
      <c r="K30" s="86">
        <v>5962</v>
      </c>
      <c r="L30" s="40"/>
    </row>
    <row r="31" spans="4:19" x14ac:dyDescent="0.4">
      <c r="D31" s="58"/>
      <c r="L31" s="40"/>
      <c r="P31" s="50" t="s">
        <v>55</v>
      </c>
      <c r="Q31" s="2" t="s">
        <v>63</v>
      </c>
    </row>
    <row r="32" spans="4:19" x14ac:dyDescent="0.4">
      <c r="D32" s="58"/>
      <c r="L32" s="40"/>
      <c r="P32" s="2" t="s">
        <v>10</v>
      </c>
      <c r="Q32" s="52">
        <v>0.66666666666666663</v>
      </c>
      <c r="R32" s="50" t="s">
        <v>55</v>
      </c>
      <c r="S32" s="2" t="s">
        <v>52</v>
      </c>
    </row>
    <row r="33" spans="4:19" x14ac:dyDescent="0.4">
      <c r="D33" s="58"/>
      <c r="L33" s="40"/>
      <c r="P33" s="2" t="s">
        <v>27</v>
      </c>
      <c r="Q33" s="52">
        <v>1</v>
      </c>
      <c r="R33" s="2" t="s">
        <v>29</v>
      </c>
      <c r="S33" s="51">
        <v>26471.1</v>
      </c>
    </row>
    <row r="34" spans="4:19" x14ac:dyDescent="0.4">
      <c r="D34" s="58"/>
      <c r="L34" s="40"/>
      <c r="P34" s="2" t="s">
        <v>21</v>
      </c>
      <c r="Q34" s="52">
        <v>0.83333333333333337</v>
      </c>
      <c r="R34" s="2" t="s">
        <v>33</v>
      </c>
      <c r="S34" s="51">
        <v>27403.68</v>
      </c>
    </row>
    <row r="35" spans="4:19" x14ac:dyDescent="0.4">
      <c r="D35" s="58"/>
      <c r="L35" s="40"/>
      <c r="P35" s="2" t="s">
        <v>29</v>
      </c>
      <c r="Q35" s="52">
        <v>1</v>
      </c>
      <c r="R35" s="2" t="s">
        <v>27</v>
      </c>
      <c r="S35" s="51">
        <v>28887.18</v>
      </c>
    </row>
    <row r="36" spans="4:19" x14ac:dyDescent="0.4">
      <c r="D36" s="65"/>
      <c r="E36" s="57"/>
      <c r="F36" s="57"/>
      <c r="G36" s="57"/>
      <c r="H36" s="57"/>
      <c r="I36" s="57"/>
      <c r="J36" s="57"/>
      <c r="K36" s="57"/>
      <c r="L36" s="66"/>
      <c r="P36" s="2" t="s">
        <v>33</v>
      </c>
      <c r="Q36" s="52">
        <v>1</v>
      </c>
      <c r="R36" s="2" t="s">
        <v>18</v>
      </c>
      <c r="S36" s="51">
        <v>30876.18</v>
      </c>
    </row>
    <row r="37" spans="4:19" x14ac:dyDescent="0.4">
      <c r="D37" s="58"/>
      <c r="L37" s="40"/>
      <c r="P37" s="2" t="s">
        <v>36</v>
      </c>
      <c r="Q37" s="52">
        <v>0.66666666666666663</v>
      </c>
      <c r="R37" s="2" t="s">
        <v>15</v>
      </c>
      <c r="S37" s="51">
        <v>31564.799999999999</v>
      </c>
    </row>
    <row r="38" spans="4:19" x14ac:dyDescent="0.4">
      <c r="D38" s="88"/>
      <c r="E38" s="89"/>
      <c r="F38" s="89"/>
      <c r="G38" s="89"/>
      <c r="H38" s="89"/>
      <c r="I38" s="89"/>
      <c r="J38" s="89"/>
      <c r="K38" s="89"/>
      <c r="L38" s="90"/>
      <c r="P38" s="2" t="s">
        <v>31</v>
      </c>
      <c r="Q38" s="52">
        <v>1</v>
      </c>
      <c r="R38" s="2" t="s">
        <v>61</v>
      </c>
      <c r="S38" s="51">
        <v>145202.94</v>
      </c>
    </row>
    <row r="39" spans="4:19" x14ac:dyDescent="0.4">
      <c r="P39" s="2" t="s">
        <v>15</v>
      </c>
      <c r="Q39" s="52">
        <v>1</v>
      </c>
    </row>
    <row r="40" spans="4:19" x14ac:dyDescent="0.4">
      <c r="P40" s="2" t="s">
        <v>24</v>
      </c>
      <c r="Q40" s="52">
        <v>0.83333333333333337</v>
      </c>
    </row>
    <row r="41" spans="4:19" x14ac:dyDescent="0.4">
      <c r="P41" s="2" t="s">
        <v>18</v>
      </c>
      <c r="Q41" s="52">
        <v>0.83333333333333337</v>
      </c>
    </row>
    <row r="42" spans="4:19" x14ac:dyDescent="0.4">
      <c r="P42" s="2" t="s">
        <v>61</v>
      </c>
      <c r="Q42" s="52">
        <v>0.8833333333333333</v>
      </c>
    </row>
  </sheetData>
  <sheetProtection algorithmName="SHA-512" hashValue="diLdbJ/HnpbgSKsBded/2JfaukEF7LDsEpZTssFqmVsINPHNJsnW8Expzij4UUkZa4w93HcwZVJFekIjtXuzDw==" saltValue="pFerAQSRWpPgrDk0k4G87w==" spinCount="100000" sheet="1" objects="1" scenarios="1" autoFilter="0"/>
  <mergeCells count="3">
    <mergeCell ref="I23:K23"/>
    <mergeCell ref="D4:L4"/>
    <mergeCell ref="D8:E8"/>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75D2-015E-42B7-9088-B06E05FA7BB2}">
  <sheetPr codeName="Sheet4"/>
  <dimension ref="B2:D10"/>
  <sheetViews>
    <sheetView showGridLines="0" workbookViewId="0">
      <selection activeCell="E10" sqref="E10"/>
    </sheetView>
  </sheetViews>
  <sheetFormatPr defaultRowHeight="14.6" x14ac:dyDescent="0.4"/>
  <cols>
    <col min="2" max="2" width="21.69140625" customWidth="1"/>
    <col min="3" max="3" width="75" bestFit="1" customWidth="1"/>
    <col min="4" max="4" width="58.07421875" customWidth="1"/>
  </cols>
  <sheetData>
    <row r="2" spans="2:4" ht="10.75" customHeight="1" x14ac:dyDescent="0.4"/>
    <row r="3" spans="2:4" ht="24.45" customHeight="1" x14ac:dyDescent="0.4">
      <c r="B3" s="70" t="s">
        <v>67</v>
      </c>
      <c r="C3" s="70" t="s">
        <v>68</v>
      </c>
      <c r="D3" s="70" t="s">
        <v>69</v>
      </c>
    </row>
    <row r="4" spans="2:4" ht="62.15" customHeight="1" x14ac:dyDescent="0.4">
      <c r="B4" s="67" t="s">
        <v>70</v>
      </c>
      <c r="C4" s="68" t="s">
        <v>71</v>
      </c>
      <c r="D4" s="69" t="s">
        <v>72</v>
      </c>
    </row>
    <row r="5" spans="2:4" ht="58.3" x14ac:dyDescent="0.4">
      <c r="B5" s="67" t="s">
        <v>73</v>
      </c>
      <c r="C5" s="68" t="s">
        <v>78</v>
      </c>
      <c r="D5" s="69" t="s">
        <v>79</v>
      </c>
    </row>
    <row r="6" spans="2:4" ht="43.75" x14ac:dyDescent="0.4">
      <c r="B6" s="67" t="s">
        <v>74</v>
      </c>
      <c r="C6" s="68" t="s">
        <v>80</v>
      </c>
      <c r="D6" s="69" t="s">
        <v>81</v>
      </c>
    </row>
    <row r="7" spans="2:4" ht="58.3" x14ac:dyDescent="0.4">
      <c r="B7" s="67" t="s">
        <v>63</v>
      </c>
      <c r="C7" s="68" t="s">
        <v>82</v>
      </c>
      <c r="D7" s="69" t="s">
        <v>83</v>
      </c>
    </row>
    <row r="8" spans="2:4" ht="43.75" x14ac:dyDescent="0.4">
      <c r="B8" s="67" t="s">
        <v>75</v>
      </c>
      <c r="C8" s="68" t="s">
        <v>84</v>
      </c>
      <c r="D8" s="69" t="s">
        <v>85</v>
      </c>
    </row>
    <row r="9" spans="2:4" ht="43.75" x14ac:dyDescent="0.4">
      <c r="B9" s="67" t="s">
        <v>76</v>
      </c>
      <c r="C9" s="68" t="s">
        <v>86</v>
      </c>
      <c r="D9" s="69" t="s">
        <v>87</v>
      </c>
    </row>
    <row r="10" spans="2:4" ht="43.75" x14ac:dyDescent="0.4">
      <c r="B10" s="67" t="s">
        <v>77</v>
      </c>
      <c r="C10" s="68" t="s">
        <v>88</v>
      </c>
      <c r="D10" s="69" t="s">
        <v>89</v>
      </c>
    </row>
  </sheetData>
  <sheetProtection algorithmName="SHA-512" hashValue="AjDMlptX/fCzztjItJmiHAco26un/IxgLiv04PFOtuVaJMQMhk91I5w1JfSwC5oVIjDhmmusL8UPJX0gh645tg==" saltValue="+n9hGKwNZztrAOFVa+KwJg=="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6503-AD5F-432C-A3CC-58C438E1669B}">
  <dimension ref="A1"/>
  <sheetViews>
    <sheetView showGridLines="0" workbookViewId="0">
      <selection activeCell="P14" sqref="P14"/>
    </sheetView>
  </sheetViews>
  <sheetFormatPr defaultRowHeight="14.6" x14ac:dyDescent="0.4"/>
  <sheetData/>
  <sheetProtection algorithmName="SHA-512" hashValue="MAbqDyOvJxQ2Ec9Cw/hXPwpPh/PEmlsv8RxuR17UZvCxaipQBBPeWBDINQEIjsQxK+zdY8rqioB0BP6S3CdB6A==" saltValue="IlkceMuDX81/ll8t49xnSQ==" spinCount="100000"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E6807E6-73B6-4994-9B60-CAB7259C2798}">
  <ds:schemaRefs/>
</ds:datastoreItem>
</file>

<file path=customXml/itemProps2.xml><?xml version="1.0" encoding="utf-8"?>
<ds:datastoreItem xmlns:ds="http://schemas.openxmlformats.org/officeDocument/2006/customXml" ds:itemID="{E2A4B4AB-ADE4-4D82-9723-283DECBD0C6E}">
  <ds:schemaRefs/>
</ds:datastoreItem>
</file>

<file path=customXml/itemProps3.xml><?xml version="1.0" encoding="utf-8"?>
<ds:datastoreItem xmlns:ds="http://schemas.openxmlformats.org/officeDocument/2006/customXml" ds:itemID="{7514011F-1214-4B20-A5DC-C37ACBA6D554}">
  <ds:schemaRefs/>
</ds:datastoreItem>
</file>

<file path=customXml/itemProps4.xml><?xml version="1.0" encoding="utf-8"?>
<ds:datastoreItem xmlns:ds="http://schemas.openxmlformats.org/officeDocument/2006/customXml" ds:itemID="{4E9621C1-EA6E-4944-B54B-D9675A25CA44}">
  <ds:schemaRefs/>
</ds:datastoreItem>
</file>

<file path=customXml/itemProps5.xml><?xml version="1.0" encoding="utf-8"?>
<ds:datastoreItem xmlns:ds="http://schemas.openxmlformats.org/officeDocument/2006/customXml" ds:itemID="{44A22977-5CED-4CA5-9227-A567B0C92C97}">
  <ds:schemaRefs/>
</ds:datastoreItem>
</file>

<file path=customXml/itemProps6.xml><?xml version="1.0" encoding="utf-8"?>
<ds:datastoreItem xmlns:ds="http://schemas.openxmlformats.org/officeDocument/2006/customXml" ds:itemID="{ED3F5563-8137-44E7-A6F5-8E538DC5B934}">
  <ds:schemaRefs/>
</ds:datastoreItem>
</file>

<file path=customXml/itemProps7.xml><?xml version="1.0" encoding="utf-8"?>
<ds:datastoreItem xmlns:ds="http://schemas.openxmlformats.org/officeDocument/2006/customXml" ds:itemID="{D1CCDAC1-A44D-4F62-ABFD-2D7669E72BD5}">
  <ds:schemaRefs/>
</ds:datastoreItem>
</file>

<file path=customXml/itemProps8.xml><?xml version="1.0" encoding="utf-8"?>
<ds:datastoreItem xmlns:ds="http://schemas.openxmlformats.org/officeDocument/2006/customXml" ds:itemID="{11196CEF-3BA0-4F94-A589-4B44A35C9091}">
  <ds:schemaRefs/>
</ds:datastoreItem>
</file>

<file path=customXml/itemProps9.xml><?xml version="1.0" encoding="utf-8"?>
<ds:datastoreItem xmlns:ds="http://schemas.openxmlformats.org/officeDocument/2006/customXml" ds:itemID="{860C01E2-167B-4AE0-938A-D95D9B192AB8}">
  <ds:schemaRefs/>
</ds:datastoreItem>
</file>

<file path=customXml/itemProps10.xml><?xml version="1.0" encoding="utf-8"?>
<ds:datastoreItem xmlns:ds="http://schemas.openxmlformats.org/officeDocument/2006/customXml" ds:itemID="{19AED001-F7E6-4A0E-8457-21FF560E6558}">
  <ds:schemaRefs/>
</ds:datastoreItem>
</file>

<file path=customXml/itemProps11.xml><?xml version="1.0" encoding="utf-8"?>
<ds:datastoreItem xmlns:ds="http://schemas.openxmlformats.org/officeDocument/2006/customXml" ds:itemID="{F59A175B-67CE-46F1-A208-C639B3869BC6}">
  <ds:schemaRefs/>
</ds:datastoreItem>
</file>

<file path=customXml/itemProps12.xml><?xml version="1.0" encoding="utf-8"?>
<ds:datastoreItem xmlns:ds="http://schemas.openxmlformats.org/officeDocument/2006/customXml" ds:itemID="{EDE57A25-AF42-4BA3-8FE0-3C334A101D5F}">
  <ds:schemaRefs/>
</ds:datastoreItem>
</file>

<file path=customXml/itemProps13.xml><?xml version="1.0" encoding="utf-8"?>
<ds:datastoreItem xmlns:ds="http://schemas.openxmlformats.org/officeDocument/2006/customXml" ds:itemID="{26BA758B-B39F-4CDA-955E-B8C4817D44EC}">
  <ds:schemaRefs/>
</ds:datastoreItem>
</file>

<file path=customXml/itemProps14.xml><?xml version="1.0" encoding="utf-8"?>
<ds:datastoreItem xmlns:ds="http://schemas.openxmlformats.org/officeDocument/2006/customXml" ds:itemID="{6AE71713-525B-4560-B6D1-C7145B3E0A9E}">
  <ds:schemaRefs/>
</ds:datastoreItem>
</file>

<file path=customXml/itemProps15.xml><?xml version="1.0" encoding="utf-8"?>
<ds:datastoreItem xmlns:ds="http://schemas.openxmlformats.org/officeDocument/2006/customXml" ds:itemID="{E92BAFEF-F7F7-4C43-A17E-CFFB187A73BB}">
  <ds:schemaRefs/>
</ds:datastoreItem>
</file>

<file path=customXml/itemProps16.xml><?xml version="1.0" encoding="utf-8"?>
<ds:datastoreItem xmlns:ds="http://schemas.openxmlformats.org/officeDocument/2006/customXml" ds:itemID="{B5F7DCD0-74AA-4E7B-A8A6-35B59DF4DB61}">
  <ds:schemaRefs/>
</ds:datastoreItem>
</file>

<file path=customXml/itemProps17.xml><?xml version="1.0" encoding="utf-8"?>
<ds:datastoreItem xmlns:ds="http://schemas.openxmlformats.org/officeDocument/2006/customXml" ds:itemID="{38078F9E-69FB-4030-B69E-4EFE1B0092F8}">
  <ds:schemaRefs/>
</ds:datastoreItem>
</file>

<file path=customXml/itemProps18.xml><?xml version="1.0" encoding="utf-8"?>
<ds:datastoreItem xmlns:ds="http://schemas.openxmlformats.org/officeDocument/2006/customXml" ds:itemID="{C11DE871-4C03-4D26-B4E9-D7A39B17AACD}">
  <ds:schemaRefs/>
</ds:datastoreItem>
</file>

<file path=customXml/itemProps19.xml><?xml version="1.0" encoding="utf-8"?>
<ds:datastoreItem xmlns:ds="http://schemas.openxmlformats.org/officeDocument/2006/customXml" ds:itemID="{9314174F-C0F9-423C-B53E-09D9A5DCCA24}">
  <ds:schemaRefs/>
</ds:datastoreItem>
</file>

<file path=customXml/itemProps20.xml><?xml version="1.0" encoding="utf-8"?>
<ds:datastoreItem xmlns:ds="http://schemas.openxmlformats.org/officeDocument/2006/customXml" ds:itemID="{1E07DD33-D620-4995-A056-61478E55D062}">
  <ds:schemaRefs/>
</ds:datastoreItem>
</file>

<file path=customXml/itemProps21.xml><?xml version="1.0" encoding="utf-8"?>
<ds:datastoreItem xmlns:ds="http://schemas.openxmlformats.org/officeDocument/2006/customXml" ds:itemID="{693B5232-6E6A-4465-9406-C1B4660038D7}">
  <ds:schemaRefs/>
</ds:datastoreItem>
</file>

<file path=customXml/itemProps22.xml><?xml version="1.0" encoding="utf-8"?>
<ds:datastoreItem xmlns:ds="http://schemas.openxmlformats.org/officeDocument/2006/customXml" ds:itemID="{E4F0BDC0-C2B4-44E3-8915-6E46014DCE96}">
  <ds:schemaRefs/>
</ds:datastoreItem>
</file>

<file path=customXml/itemProps23.xml><?xml version="1.0" encoding="utf-8"?>
<ds:datastoreItem xmlns:ds="http://schemas.openxmlformats.org/officeDocument/2006/customXml" ds:itemID="{EFA852AE-5D4D-42A9-903D-713C51B73064}">
  <ds:schemaRefs/>
</ds:datastoreItem>
</file>

<file path=customXml/itemProps24.xml><?xml version="1.0" encoding="utf-8"?>
<ds:datastoreItem xmlns:ds="http://schemas.openxmlformats.org/officeDocument/2006/customXml" ds:itemID="{5FE89ACB-0DA7-4ACD-AFCD-C66AB91C8C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MIS_Summary</vt:lpstr>
      <vt:lpstr>Dashboard</vt:lpstr>
      <vt:lpstr>AI_Insights</vt:lpstr>
      <vt:lpstr>Weekly_MIS_Reports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Suprit Mukherjee</dc:creator>
  <cp:lastModifiedBy>Suprit Mukherjee</cp:lastModifiedBy>
  <dcterms:created xsi:type="dcterms:W3CDTF">2026-06-24T13:05:17Z</dcterms:created>
  <dcterms:modified xsi:type="dcterms:W3CDTF">2026-06-27T08:53:58Z</dcterms:modified>
</cp:coreProperties>
</file>